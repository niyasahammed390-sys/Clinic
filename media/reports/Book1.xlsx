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YAS\OneDrive\Desktop\"/>
    </mc:Choice>
  </mc:AlternateContent>
  <xr:revisionPtr revIDLastSave="0" documentId="13_ncr:1_{7FCB1EDF-D2E3-4AB6-BF36-E6F3F0728468}" xr6:coauthVersionLast="47" xr6:coauthVersionMax="47" xr10:uidLastSave="{00000000-0000-0000-0000-000000000000}"/>
  <bookViews>
    <workbookView xWindow="-108" yWindow="-108" windowWidth="23256" windowHeight="12456" tabRatio="785" firstSheet="5" activeTab="6" xr2:uid="{BEDCF663-47E4-4EC1-AB32-9B8139E6CD36}"/>
  </bookViews>
  <sheets>
    <sheet name="Cmt Vs Tgt Aug-23" sheetId="29" r:id="rId1"/>
    <sheet name="Cmt Vs Tgt Jul-23" sheetId="26" r:id="rId2"/>
    <sheet name="Compare" sheetId="28" r:id="rId3"/>
    <sheet name="RTO Wise Jul-23" sheetId="14" r:id="rId4"/>
    <sheet name="Wholesale Vs Retail" sheetId="25" r:id="rId5"/>
    <sheet name="Cmt Vs Tgt Jun-23" sheetId="3" r:id="rId6"/>
    <sheet name="RTO Wise Jun-23" sheetId="27" r:id="rId7"/>
    <sheet name="Malappuram" sheetId="16" r:id="rId8"/>
    <sheet name="Kondotty" sheetId="17" r:id="rId9"/>
    <sheet name="Nilambur" sheetId="18" r:id="rId10"/>
    <sheet name="Perinthalmanna" sheetId="19" r:id="rId11"/>
    <sheet name="Tirur" sheetId="21" r:id="rId12"/>
    <sheet name="Thirurangadi" sheetId="20" r:id="rId13"/>
    <sheet name="Ponnani" sheetId="22" r:id="rId14"/>
    <sheet name="Consolidation" sheetId="23" r:id="rId15"/>
  </sheets>
  <definedNames>
    <definedName name="_xlnm._FilterDatabase" localSheetId="6" hidden="1">'RTO Wise Jun-23'!$A$16:$BN$25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2" i="27" l="1"/>
  <c r="AQ12" i="27"/>
  <c r="AL12" i="27"/>
  <c r="AG12" i="27"/>
  <c r="AB12" i="27"/>
  <c r="W12" i="27"/>
  <c r="R12" i="27"/>
  <c r="BF51" i="27"/>
  <c r="BA51" i="27"/>
  <c r="AV51" i="27"/>
  <c r="AQ51" i="27"/>
  <c r="AL51" i="27"/>
  <c r="AG51" i="27"/>
  <c r="AB51" i="27"/>
  <c r="W51" i="27"/>
  <c r="R51" i="27"/>
  <c r="M51" i="27"/>
  <c r="H51" i="27"/>
  <c r="C51" i="27"/>
  <c r="BH64" i="27"/>
  <c r="BI64" i="27" s="1"/>
  <c r="BG64" i="27"/>
  <c r="BF64" i="27"/>
  <c r="BE64" i="27"/>
  <c r="BA64" i="27"/>
  <c r="BB64" i="27" s="1"/>
  <c r="AZ64" i="27"/>
  <c r="BC64" i="27" s="1"/>
  <c r="BD64" i="27" s="1"/>
  <c r="AV64" i="27"/>
  <c r="AW64" i="27" s="1"/>
  <c r="AU64" i="27"/>
  <c r="AX64" i="27" s="1"/>
  <c r="AY64" i="27" s="1"/>
  <c r="AQ64" i="27"/>
  <c r="AS64" i="27" s="1"/>
  <c r="AT64" i="27" s="1"/>
  <c r="AP64" i="27"/>
  <c r="AL64" i="27"/>
  <c r="AM64" i="27" s="1"/>
  <c r="AK64" i="27"/>
  <c r="AN64" i="27" s="1"/>
  <c r="AO64" i="27" s="1"/>
  <c r="AI64" i="27"/>
  <c r="AJ64" i="27" s="1"/>
  <c r="AG64" i="27"/>
  <c r="AH64" i="27" s="1"/>
  <c r="AF64" i="27"/>
  <c r="AB64" i="27"/>
  <c r="AC64" i="27" s="1"/>
  <c r="AA64" i="27"/>
  <c r="AD64" i="27" s="1"/>
  <c r="AE64" i="27" s="1"/>
  <c r="W64" i="27"/>
  <c r="X64" i="27" s="1"/>
  <c r="V64" i="27"/>
  <c r="Y64" i="27" s="1"/>
  <c r="Z64" i="27" s="1"/>
  <c r="T64" i="27"/>
  <c r="U64" i="27" s="1"/>
  <c r="S64" i="27"/>
  <c r="R64" i="27"/>
  <c r="Q64" i="27"/>
  <c r="M64" i="27"/>
  <c r="N64" i="27" s="1"/>
  <c r="L64" i="27"/>
  <c r="O64" i="27" s="1"/>
  <c r="P64" i="27" s="1"/>
  <c r="H64" i="27"/>
  <c r="G64" i="27"/>
  <c r="J64" i="27" s="1"/>
  <c r="K64" i="27" s="1"/>
  <c r="C64" i="27"/>
  <c r="D64" i="27" s="1"/>
  <c r="B64" i="27"/>
  <c r="BK63" i="27"/>
  <c r="BK62" i="27"/>
  <c r="BL62" i="27" s="1"/>
  <c r="BJ62" i="27"/>
  <c r="BM62" i="27" s="1"/>
  <c r="BN62" i="27" s="1"/>
  <c r="BI62" i="27"/>
  <c r="BH62" i="27"/>
  <c r="BG62" i="27"/>
  <c r="BC62" i="27"/>
  <c r="BD62" i="27" s="1"/>
  <c r="BB62" i="27"/>
  <c r="AX62" i="27"/>
  <c r="AY62" i="27" s="1"/>
  <c r="AW62" i="27"/>
  <c r="AS62" i="27"/>
  <c r="AT62" i="27" s="1"/>
  <c r="AR62" i="27"/>
  <c r="AN62" i="27"/>
  <c r="AO62" i="27" s="1"/>
  <c r="AM62" i="27"/>
  <c r="AI62" i="27"/>
  <c r="AJ62" i="27" s="1"/>
  <c r="AH62" i="27"/>
  <c r="AE62" i="27"/>
  <c r="AD62" i="27"/>
  <c r="AC62" i="27"/>
  <c r="Y62" i="27"/>
  <c r="Z62" i="27" s="1"/>
  <c r="X62" i="27"/>
  <c r="U62" i="27"/>
  <c r="T62" i="27"/>
  <c r="S62" i="27"/>
  <c r="O62" i="27"/>
  <c r="P62" i="27" s="1"/>
  <c r="N62" i="27"/>
  <c r="J62" i="27"/>
  <c r="K62" i="27" s="1"/>
  <c r="I62" i="27"/>
  <c r="E62" i="27"/>
  <c r="F62" i="27" s="1"/>
  <c r="D62" i="27"/>
  <c r="BK61" i="27"/>
  <c r="BL61" i="27" s="1"/>
  <c r="BJ61" i="27"/>
  <c r="BM61" i="27" s="1"/>
  <c r="BN61" i="27" s="1"/>
  <c r="BH61" i="27"/>
  <c r="BI61" i="27" s="1"/>
  <c r="BG61" i="27"/>
  <c r="BC61" i="27"/>
  <c r="BD61" i="27" s="1"/>
  <c r="BB61" i="27"/>
  <c r="AX61" i="27"/>
  <c r="AY61" i="27" s="1"/>
  <c r="AW61" i="27"/>
  <c r="AT61" i="27"/>
  <c r="AS61" i="27"/>
  <c r="AR61" i="27"/>
  <c r="AN61" i="27"/>
  <c r="AO61" i="27" s="1"/>
  <c r="AM61" i="27"/>
  <c r="AJ61" i="27"/>
  <c r="AI61" i="27"/>
  <c r="AH61" i="27"/>
  <c r="AD61" i="27"/>
  <c r="AE61" i="27" s="1"/>
  <c r="AC61" i="27"/>
  <c r="Y61" i="27"/>
  <c r="Z61" i="27" s="1"/>
  <c r="X61" i="27"/>
  <c r="T61" i="27"/>
  <c r="U61" i="27" s="1"/>
  <c r="S61" i="27"/>
  <c r="O61" i="27"/>
  <c r="P61" i="27" s="1"/>
  <c r="N61" i="27"/>
  <c r="J61" i="27"/>
  <c r="K61" i="27" s="1"/>
  <c r="I61" i="27"/>
  <c r="F61" i="27"/>
  <c r="E61" i="27"/>
  <c r="D61" i="27"/>
  <c r="BK60" i="27"/>
  <c r="BL60" i="27" s="1"/>
  <c r="BJ60" i="27"/>
  <c r="BI60" i="27"/>
  <c r="BH60" i="27"/>
  <c r="BG60" i="27"/>
  <c r="BC60" i="27"/>
  <c r="BD60" i="27" s="1"/>
  <c r="BB60" i="27"/>
  <c r="AY60" i="27"/>
  <c r="AX60" i="27"/>
  <c r="AW60" i="27"/>
  <c r="AS60" i="27"/>
  <c r="AT60" i="27" s="1"/>
  <c r="AR60" i="27"/>
  <c r="AN60" i="27"/>
  <c r="AO60" i="27" s="1"/>
  <c r="AM60" i="27"/>
  <c r="AI60" i="27"/>
  <c r="AJ60" i="27" s="1"/>
  <c r="AH60" i="27"/>
  <c r="AD60" i="27"/>
  <c r="AE60" i="27" s="1"/>
  <c r="AC60" i="27"/>
  <c r="Y60" i="27"/>
  <c r="Z60" i="27" s="1"/>
  <c r="X60" i="27"/>
  <c r="U60" i="27"/>
  <c r="T60" i="27"/>
  <c r="S60" i="27"/>
  <c r="O60" i="27"/>
  <c r="P60" i="27" s="1"/>
  <c r="N60" i="27"/>
  <c r="K60" i="27"/>
  <c r="J60" i="27"/>
  <c r="I60" i="27"/>
  <c r="E60" i="27"/>
  <c r="F60" i="27" s="1"/>
  <c r="D60" i="27"/>
  <c r="BM59" i="27"/>
  <c r="BN59" i="27" s="1"/>
  <c r="BL59" i="27"/>
  <c r="BK59" i="27"/>
  <c r="BJ59" i="27"/>
  <c r="BH59" i="27"/>
  <c r="BI59" i="27" s="1"/>
  <c r="BG59" i="27"/>
  <c r="BC59" i="27"/>
  <c r="BD59" i="27" s="1"/>
  <c r="BB59" i="27"/>
  <c r="AX59" i="27"/>
  <c r="AY59" i="27" s="1"/>
  <c r="AW59" i="27"/>
  <c r="AS59" i="27"/>
  <c r="AT59" i="27" s="1"/>
  <c r="AR59" i="27"/>
  <c r="AN59" i="27"/>
  <c r="AO59" i="27" s="1"/>
  <c r="AM59" i="27"/>
  <c r="AJ59" i="27"/>
  <c r="AI59" i="27"/>
  <c r="AH59" i="27"/>
  <c r="AD59" i="27"/>
  <c r="AE59" i="27" s="1"/>
  <c r="AC59" i="27"/>
  <c r="Z59" i="27"/>
  <c r="Y59" i="27"/>
  <c r="X59" i="27"/>
  <c r="T59" i="27"/>
  <c r="U59" i="27" s="1"/>
  <c r="S59" i="27"/>
  <c r="O59" i="27"/>
  <c r="P59" i="27" s="1"/>
  <c r="N59" i="27"/>
  <c r="J59" i="27"/>
  <c r="K59" i="27" s="1"/>
  <c r="I59" i="27"/>
  <c r="E59" i="27"/>
  <c r="F59" i="27" s="1"/>
  <c r="D59" i="27"/>
  <c r="BM58" i="27"/>
  <c r="BN58" i="27" s="1"/>
  <c r="BK58" i="27"/>
  <c r="BL58" i="27" s="1"/>
  <c r="BJ58" i="27"/>
  <c r="BH58" i="27"/>
  <c r="BI58" i="27" s="1"/>
  <c r="BG58" i="27"/>
  <c r="BC58" i="27"/>
  <c r="BD58" i="27" s="1"/>
  <c r="BB58" i="27"/>
  <c r="AY58" i="27"/>
  <c r="AX58" i="27"/>
  <c r="AW58" i="27"/>
  <c r="AS58" i="27"/>
  <c r="AT58" i="27" s="1"/>
  <c r="AR58" i="27"/>
  <c r="AO58" i="27"/>
  <c r="AN58" i="27"/>
  <c r="AM58" i="27"/>
  <c r="AI58" i="27"/>
  <c r="AJ58" i="27" s="1"/>
  <c r="AH58" i="27"/>
  <c r="AD58" i="27"/>
  <c r="AE58" i="27" s="1"/>
  <c r="AC58" i="27"/>
  <c r="Y58" i="27"/>
  <c r="Z58" i="27" s="1"/>
  <c r="X58" i="27"/>
  <c r="T58" i="27"/>
  <c r="U58" i="27" s="1"/>
  <c r="S58" i="27"/>
  <c r="O58" i="27"/>
  <c r="P58" i="27" s="1"/>
  <c r="N58" i="27"/>
  <c r="K58" i="27"/>
  <c r="J58" i="27"/>
  <c r="I58" i="27"/>
  <c r="E58" i="27"/>
  <c r="F58" i="27" s="1"/>
  <c r="D58" i="27"/>
  <c r="BK57" i="27"/>
  <c r="BJ57" i="27"/>
  <c r="BM57" i="27" s="1"/>
  <c r="BN57" i="27" s="1"/>
  <c r="BH57" i="27"/>
  <c r="BI57" i="27" s="1"/>
  <c r="BG57" i="27"/>
  <c r="BD57" i="27"/>
  <c r="BC57" i="27"/>
  <c r="BB57" i="27"/>
  <c r="AX57" i="27"/>
  <c r="AY57" i="27" s="1"/>
  <c r="AW57" i="27"/>
  <c r="AS57" i="27"/>
  <c r="AT57" i="27" s="1"/>
  <c r="AR57" i="27"/>
  <c r="AN57" i="27"/>
  <c r="AO57" i="27" s="1"/>
  <c r="AM57" i="27"/>
  <c r="AI57" i="27"/>
  <c r="AJ57" i="27" s="1"/>
  <c r="AH57" i="27"/>
  <c r="AD57" i="27"/>
  <c r="AE57" i="27" s="1"/>
  <c r="AC57" i="27"/>
  <c r="Z57" i="27"/>
  <c r="Y57" i="27"/>
  <c r="X57" i="27"/>
  <c r="T57" i="27"/>
  <c r="U57" i="27" s="1"/>
  <c r="S57" i="27"/>
  <c r="P57" i="27"/>
  <c r="O57" i="27"/>
  <c r="N57" i="27"/>
  <c r="J57" i="27"/>
  <c r="K57" i="27" s="1"/>
  <c r="I57" i="27"/>
  <c r="E57" i="27"/>
  <c r="F57" i="27" s="1"/>
  <c r="D57" i="27"/>
  <c r="BK56" i="27"/>
  <c r="BL56" i="27" s="1"/>
  <c r="BJ56" i="27"/>
  <c r="BM56" i="27" s="1"/>
  <c r="BN56" i="27" s="1"/>
  <c r="BH56" i="27"/>
  <c r="BI56" i="27" s="1"/>
  <c r="BG56" i="27"/>
  <c r="BC56" i="27"/>
  <c r="BD56" i="27" s="1"/>
  <c r="BB56" i="27"/>
  <c r="AX56" i="27"/>
  <c r="AY56" i="27" s="1"/>
  <c r="AW56" i="27"/>
  <c r="AS56" i="27"/>
  <c r="AT56" i="27" s="1"/>
  <c r="AR56" i="27"/>
  <c r="AO56" i="27"/>
  <c r="AN56" i="27"/>
  <c r="AM56" i="27"/>
  <c r="AI56" i="27"/>
  <c r="AJ56" i="27" s="1"/>
  <c r="AH56" i="27"/>
  <c r="AE56" i="27"/>
  <c r="AD56" i="27"/>
  <c r="AC56" i="27"/>
  <c r="Y56" i="27"/>
  <c r="Z56" i="27" s="1"/>
  <c r="X56" i="27"/>
  <c r="T56" i="27"/>
  <c r="U56" i="27" s="1"/>
  <c r="S56" i="27"/>
  <c r="O56" i="27"/>
  <c r="P56" i="27" s="1"/>
  <c r="N56" i="27"/>
  <c r="J56" i="27"/>
  <c r="K56" i="27" s="1"/>
  <c r="I56" i="27"/>
  <c r="E56" i="27"/>
  <c r="F56" i="27" s="1"/>
  <c r="D56" i="27"/>
  <c r="BE51" i="27"/>
  <c r="BH51" i="27" s="1"/>
  <c r="BI51" i="27" s="1"/>
  <c r="AZ51" i="27"/>
  <c r="AU51" i="27"/>
  <c r="AP51" i="27"/>
  <c r="AK51" i="27"/>
  <c r="AF51" i="27"/>
  <c r="AA51" i="27"/>
  <c r="V51" i="27"/>
  <c r="Y51" i="27" s="1"/>
  <c r="Z51" i="27" s="1"/>
  <c r="Q51" i="27"/>
  <c r="T51" i="27" s="1"/>
  <c r="U51" i="27" s="1"/>
  <c r="L51" i="27"/>
  <c r="G51" i="27"/>
  <c r="B51" i="27"/>
  <c r="BK50" i="27"/>
  <c r="BK49" i="27"/>
  <c r="BJ49" i="27"/>
  <c r="BH49" i="27"/>
  <c r="BI49" i="27" s="1"/>
  <c r="BG49" i="27"/>
  <c r="BC49" i="27"/>
  <c r="BD49" i="27" s="1"/>
  <c r="BB49" i="27"/>
  <c r="AX49" i="27"/>
  <c r="AY49" i="27" s="1"/>
  <c r="AW49" i="27"/>
  <c r="AS49" i="27"/>
  <c r="AT49" i="27" s="1"/>
  <c r="AR49" i="27"/>
  <c r="AN49" i="27"/>
  <c r="AO49" i="27" s="1"/>
  <c r="AM49" i="27"/>
  <c r="AI49" i="27"/>
  <c r="AJ49" i="27" s="1"/>
  <c r="AH49" i="27"/>
  <c r="AD49" i="27"/>
  <c r="AE49" i="27" s="1"/>
  <c r="AC49" i="27"/>
  <c r="Y49" i="27"/>
  <c r="Z49" i="27" s="1"/>
  <c r="X49" i="27"/>
  <c r="T49" i="27"/>
  <c r="U49" i="27" s="1"/>
  <c r="S49" i="27"/>
  <c r="O49" i="27"/>
  <c r="P49" i="27" s="1"/>
  <c r="N49" i="27"/>
  <c r="J49" i="27"/>
  <c r="K49" i="27" s="1"/>
  <c r="I49" i="27"/>
  <c r="E49" i="27"/>
  <c r="F49" i="27" s="1"/>
  <c r="D49" i="27"/>
  <c r="BK48" i="27"/>
  <c r="BJ48" i="27"/>
  <c r="BH48" i="27"/>
  <c r="BI48" i="27" s="1"/>
  <c r="BG48" i="27"/>
  <c r="BC48" i="27"/>
  <c r="BD48" i="27" s="1"/>
  <c r="BB48" i="27"/>
  <c r="AX48" i="27"/>
  <c r="AY48" i="27" s="1"/>
  <c r="AW48" i="27"/>
  <c r="AS48" i="27"/>
  <c r="AT48" i="27" s="1"/>
  <c r="AR48" i="27"/>
  <c r="AN48" i="27"/>
  <c r="AO48" i="27" s="1"/>
  <c r="AM48" i="27"/>
  <c r="AI48" i="27"/>
  <c r="AJ48" i="27" s="1"/>
  <c r="AH48" i="27"/>
  <c r="AD48" i="27"/>
  <c r="AE48" i="27" s="1"/>
  <c r="AC48" i="27"/>
  <c r="Y48" i="27"/>
  <c r="Z48" i="27" s="1"/>
  <c r="X48" i="27"/>
  <c r="T48" i="27"/>
  <c r="U48" i="27" s="1"/>
  <c r="S48" i="27"/>
  <c r="O48" i="27"/>
  <c r="P48" i="27" s="1"/>
  <c r="N48" i="27"/>
  <c r="J48" i="27"/>
  <c r="K48" i="27" s="1"/>
  <c r="I48" i="27"/>
  <c r="E48" i="27"/>
  <c r="F48" i="27" s="1"/>
  <c r="D48" i="27"/>
  <c r="BK47" i="27"/>
  <c r="BJ47" i="27"/>
  <c r="BH47" i="27"/>
  <c r="BI47" i="27" s="1"/>
  <c r="BG47" i="27"/>
  <c r="BC47" i="27"/>
  <c r="BD47" i="27" s="1"/>
  <c r="BB47" i="27"/>
  <c r="AX47" i="27"/>
  <c r="AY47" i="27" s="1"/>
  <c r="AW47" i="27"/>
  <c r="AS47" i="27"/>
  <c r="AT47" i="27" s="1"/>
  <c r="AR47" i="27"/>
  <c r="AN47" i="27"/>
  <c r="AO47" i="27" s="1"/>
  <c r="AM47" i="27"/>
  <c r="AI47" i="27"/>
  <c r="AJ47" i="27" s="1"/>
  <c r="AH47" i="27"/>
  <c r="AD47" i="27"/>
  <c r="AE47" i="27" s="1"/>
  <c r="AC47" i="27"/>
  <c r="Y47" i="27"/>
  <c r="Z47" i="27" s="1"/>
  <c r="X47" i="27"/>
  <c r="T47" i="27"/>
  <c r="U47" i="27" s="1"/>
  <c r="S47" i="27"/>
  <c r="O47" i="27"/>
  <c r="P47" i="27" s="1"/>
  <c r="N47" i="27"/>
  <c r="J47" i="27"/>
  <c r="K47" i="27" s="1"/>
  <c r="I47" i="27"/>
  <c r="E47" i="27"/>
  <c r="F47" i="27" s="1"/>
  <c r="D47" i="27"/>
  <c r="BK46" i="27"/>
  <c r="BJ46" i="27"/>
  <c r="BH46" i="27"/>
  <c r="BI46" i="27" s="1"/>
  <c r="BG46" i="27"/>
  <c r="BC46" i="27"/>
  <c r="BD46" i="27" s="1"/>
  <c r="BB46" i="27"/>
  <c r="AX46" i="27"/>
  <c r="AY46" i="27" s="1"/>
  <c r="AW46" i="27"/>
  <c r="AS46" i="27"/>
  <c r="AT46" i="27" s="1"/>
  <c r="AR46" i="27"/>
  <c r="AN46" i="27"/>
  <c r="AO46" i="27" s="1"/>
  <c r="AM46" i="27"/>
  <c r="AI46" i="27"/>
  <c r="AJ46" i="27" s="1"/>
  <c r="AH46" i="27"/>
  <c r="AD46" i="27"/>
  <c r="AE46" i="27" s="1"/>
  <c r="AC46" i="27"/>
  <c r="Y46" i="27"/>
  <c r="Z46" i="27" s="1"/>
  <c r="X46" i="27"/>
  <c r="T46" i="27"/>
  <c r="U46" i="27" s="1"/>
  <c r="S46" i="27"/>
  <c r="O46" i="27"/>
  <c r="P46" i="27" s="1"/>
  <c r="N46" i="27"/>
  <c r="J46" i="27"/>
  <c r="K46" i="27" s="1"/>
  <c r="I46" i="27"/>
  <c r="E46" i="27"/>
  <c r="F46" i="27" s="1"/>
  <c r="D46" i="27"/>
  <c r="BK45" i="27"/>
  <c r="BJ45" i="27"/>
  <c r="BH45" i="27"/>
  <c r="BI45" i="27" s="1"/>
  <c r="BG45" i="27"/>
  <c r="BC45" i="27"/>
  <c r="BD45" i="27" s="1"/>
  <c r="BB45" i="27"/>
  <c r="AX45" i="27"/>
  <c r="AY45" i="27" s="1"/>
  <c r="AW45" i="27"/>
  <c r="AS45" i="27"/>
  <c r="AT45" i="27" s="1"/>
  <c r="AR45" i="27"/>
  <c r="AN45" i="27"/>
  <c r="AO45" i="27" s="1"/>
  <c r="AM45" i="27"/>
  <c r="AI45" i="27"/>
  <c r="AJ45" i="27" s="1"/>
  <c r="AH45" i="27"/>
  <c r="AD45" i="27"/>
  <c r="AE45" i="27" s="1"/>
  <c r="AC45" i="27"/>
  <c r="Y45" i="27"/>
  <c r="Z45" i="27" s="1"/>
  <c r="X45" i="27"/>
  <c r="T45" i="27"/>
  <c r="U45" i="27" s="1"/>
  <c r="S45" i="27"/>
  <c r="O45" i="27"/>
  <c r="P45" i="27" s="1"/>
  <c r="N45" i="27"/>
  <c r="J45" i="27"/>
  <c r="K45" i="27" s="1"/>
  <c r="I45" i="27"/>
  <c r="E45" i="27"/>
  <c r="F45" i="27" s="1"/>
  <c r="D45" i="27"/>
  <c r="BK44" i="27"/>
  <c r="BJ44" i="27"/>
  <c r="BH44" i="27"/>
  <c r="BI44" i="27" s="1"/>
  <c r="BG44" i="27"/>
  <c r="BC44" i="27"/>
  <c r="BD44" i="27" s="1"/>
  <c r="BB44" i="27"/>
  <c r="AX44" i="27"/>
  <c r="AY44" i="27" s="1"/>
  <c r="AW44" i="27"/>
  <c r="AS44" i="27"/>
  <c r="AT44" i="27" s="1"/>
  <c r="AR44" i="27"/>
  <c r="AN44" i="27"/>
  <c r="AO44" i="27" s="1"/>
  <c r="AM44" i="27"/>
  <c r="AI44" i="27"/>
  <c r="AJ44" i="27" s="1"/>
  <c r="AH44" i="27"/>
  <c r="AD44" i="27"/>
  <c r="AE44" i="27" s="1"/>
  <c r="AC44" i="27"/>
  <c r="Y44" i="27"/>
  <c r="Z44" i="27" s="1"/>
  <c r="X44" i="27"/>
  <c r="T44" i="27"/>
  <c r="U44" i="27" s="1"/>
  <c r="S44" i="27"/>
  <c r="O44" i="27"/>
  <c r="P44" i="27" s="1"/>
  <c r="N44" i="27"/>
  <c r="J44" i="27"/>
  <c r="K44" i="27" s="1"/>
  <c r="I44" i="27"/>
  <c r="E44" i="27"/>
  <c r="F44" i="27" s="1"/>
  <c r="D44" i="27"/>
  <c r="BK43" i="27"/>
  <c r="BJ43" i="27"/>
  <c r="BH43" i="27"/>
  <c r="BI43" i="27" s="1"/>
  <c r="BG43" i="27"/>
  <c r="BC43" i="27"/>
  <c r="BD43" i="27" s="1"/>
  <c r="BB43" i="27"/>
  <c r="AX43" i="27"/>
  <c r="AY43" i="27" s="1"/>
  <c r="AW43" i="27"/>
  <c r="AS43" i="27"/>
  <c r="AT43" i="27" s="1"/>
  <c r="AR43" i="27"/>
  <c r="AN43" i="27"/>
  <c r="AO43" i="27" s="1"/>
  <c r="AM43" i="27"/>
  <c r="AI43" i="27"/>
  <c r="AJ43" i="27" s="1"/>
  <c r="AH43" i="27"/>
  <c r="AD43" i="27"/>
  <c r="AE43" i="27" s="1"/>
  <c r="AC43" i="27"/>
  <c r="Y43" i="27"/>
  <c r="Z43" i="27" s="1"/>
  <c r="X43" i="27"/>
  <c r="T43" i="27"/>
  <c r="U43" i="27" s="1"/>
  <c r="S43" i="27"/>
  <c r="O43" i="27"/>
  <c r="P43" i="27" s="1"/>
  <c r="N43" i="27"/>
  <c r="J43" i="27"/>
  <c r="K43" i="27" s="1"/>
  <c r="I43" i="27"/>
  <c r="E43" i="27"/>
  <c r="F43" i="27" s="1"/>
  <c r="D43" i="27"/>
  <c r="M12" i="27"/>
  <c r="H12" i="27"/>
  <c r="BF12" i="27"/>
  <c r="BE12" i="27"/>
  <c r="BA12" i="27"/>
  <c r="AZ12" i="27"/>
  <c r="AU12" i="27"/>
  <c r="AX12" i="27" s="1"/>
  <c r="AY12" i="27" s="1"/>
  <c r="AP12" i="27"/>
  <c r="AK12" i="27"/>
  <c r="AF12" i="27"/>
  <c r="AA12" i="27"/>
  <c r="V12" i="27"/>
  <c r="Q12" i="27"/>
  <c r="L12" i="27"/>
  <c r="G12" i="27"/>
  <c r="C12" i="27"/>
  <c r="B12" i="27"/>
  <c r="BK11" i="27"/>
  <c r="BK10" i="27"/>
  <c r="BJ10" i="27"/>
  <c r="BH10" i="27"/>
  <c r="BI10" i="27" s="1"/>
  <c r="BG10" i="27"/>
  <c r="BC10" i="27"/>
  <c r="BD10" i="27" s="1"/>
  <c r="BB10" i="27"/>
  <c r="AX10" i="27"/>
  <c r="AY10" i="27" s="1"/>
  <c r="AW10" i="27"/>
  <c r="AS10" i="27"/>
  <c r="AT10" i="27" s="1"/>
  <c r="AR10" i="27"/>
  <c r="AN10" i="27"/>
  <c r="AO10" i="27" s="1"/>
  <c r="AM10" i="27"/>
  <c r="AI10" i="27"/>
  <c r="AJ10" i="27" s="1"/>
  <c r="AH10" i="27"/>
  <c r="AD10" i="27"/>
  <c r="AE10" i="27" s="1"/>
  <c r="AC10" i="27"/>
  <c r="Y10" i="27"/>
  <c r="Z10" i="27" s="1"/>
  <c r="X10" i="27"/>
  <c r="T10" i="27"/>
  <c r="U10" i="27" s="1"/>
  <c r="S10" i="27"/>
  <c r="O10" i="27"/>
  <c r="P10" i="27" s="1"/>
  <c r="N10" i="27"/>
  <c r="J10" i="27"/>
  <c r="K10" i="27" s="1"/>
  <c r="I10" i="27"/>
  <c r="E10" i="27"/>
  <c r="F10" i="27" s="1"/>
  <c r="D10" i="27"/>
  <c r="BK9" i="27"/>
  <c r="BJ9" i="27"/>
  <c r="BH9" i="27"/>
  <c r="BI9" i="27" s="1"/>
  <c r="BG9" i="27"/>
  <c r="BC9" i="27"/>
  <c r="BD9" i="27" s="1"/>
  <c r="BB9" i="27"/>
  <c r="AX9" i="27"/>
  <c r="AY9" i="27" s="1"/>
  <c r="AW9" i="27"/>
  <c r="AS9" i="27"/>
  <c r="AT9" i="27" s="1"/>
  <c r="AR9" i="27"/>
  <c r="AN9" i="27"/>
  <c r="AO9" i="27" s="1"/>
  <c r="AM9" i="27"/>
  <c r="AI9" i="27"/>
  <c r="AJ9" i="27" s="1"/>
  <c r="AH9" i="27"/>
  <c r="AD9" i="27"/>
  <c r="AE9" i="27" s="1"/>
  <c r="AC9" i="27"/>
  <c r="Y9" i="27"/>
  <c r="Z9" i="27" s="1"/>
  <c r="X9" i="27"/>
  <c r="T9" i="27"/>
  <c r="U9" i="27" s="1"/>
  <c r="S9" i="27"/>
  <c r="O9" i="27"/>
  <c r="P9" i="27" s="1"/>
  <c r="N9" i="27"/>
  <c r="J9" i="27"/>
  <c r="K9" i="27" s="1"/>
  <c r="I9" i="27"/>
  <c r="E9" i="27"/>
  <c r="F9" i="27" s="1"/>
  <c r="D9" i="27"/>
  <c r="BK8" i="27"/>
  <c r="BJ8" i="27"/>
  <c r="BH8" i="27"/>
  <c r="BI8" i="27" s="1"/>
  <c r="BG8" i="27"/>
  <c r="BC8" i="27"/>
  <c r="BD8" i="27" s="1"/>
  <c r="BB8" i="27"/>
  <c r="AX8" i="27"/>
  <c r="AY8" i="27" s="1"/>
  <c r="AW8" i="27"/>
  <c r="AS8" i="27"/>
  <c r="AT8" i="27" s="1"/>
  <c r="AR8" i="27"/>
  <c r="AN8" i="27"/>
  <c r="AO8" i="27" s="1"/>
  <c r="AM8" i="27"/>
  <c r="AI8" i="27"/>
  <c r="AJ8" i="27" s="1"/>
  <c r="AH8" i="27"/>
  <c r="AD8" i="27"/>
  <c r="AE8" i="27" s="1"/>
  <c r="AC8" i="27"/>
  <c r="Y8" i="27"/>
  <c r="Z8" i="27" s="1"/>
  <c r="X8" i="27"/>
  <c r="T8" i="27"/>
  <c r="U8" i="27" s="1"/>
  <c r="S8" i="27"/>
  <c r="O8" i="27"/>
  <c r="P8" i="27" s="1"/>
  <c r="N8" i="27"/>
  <c r="J8" i="27"/>
  <c r="K8" i="27" s="1"/>
  <c r="I8" i="27"/>
  <c r="E8" i="27"/>
  <c r="F8" i="27" s="1"/>
  <c r="D8" i="27"/>
  <c r="BK7" i="27"/>
  <c r="BJ7" i="27"/>
  <c r="BH7" i="27"/>
  <c r="BI7" i="27" s="1"/>
  <c r="BG7" i="27"/>
  <c r="BC7" i="27"/>
  <c r="BD7" i="27" s="1"/>
  <c r="BB7" i="27"/>
  <c r="AX7" i="27"/>
  <c r="AY7" i="27" s="1"/>
  <c r="AW7" i="27"/>
  <c r="AS7" i="27"/>
  <c r="AT7" i="27" s="1"/>
  <c r="AR7" i="27"/>
  <c r="AN7" i="27"/>
  <c r="AO7" i="27" s="1"/>
  <c r="AM7" i="27"/>
  <c r="AI7" i="27"/>
  <c r="AJ7" i="27" s="1"/>
  <c r="AH7" i="27"/>
  <c r="AD7" i="27"/>
  <c r="AE7" i="27" s="1"/>
  <c r="AC7" i="27"/>
  <c r="Y7" i="27"/>
  <c r="Z7" i="27" s="1"/>
  <c r="X7" i="27"/>
  <c r="T7" i="27"/>
  <c r="U7" i="27" s="1"/>
  <c r="S7" i="27"/>
  <c r="O7" i="27"/>
  <c r="P7" i="27" s="1"/>
  <c r="N7" i="27"/>
  <c r="J7" i="27"/>
  <c r="K7" i="27" s="1"/>
  <c r="I7" i="27"/>
  <c r="E7" i="27"/>
  <c r="F7" i="27" s="1"/>
  <c r="D7" i="27"/>
  <c r="BK6" i="27"/>
  <c r="BJ6" i="27"/>
  <c r="BH6" i="27"/>
  <c r="BI6" i="27" s="1"/>
  <c r="BG6" i="27"/>
  <c r="BC6" i="27"/>
  <c r="BD6" i="27" s="1"/>
  <c r="BB6" i="27"/>
  <c r="AX6" i="27"/>
  <c r="AY6" i="27" s="1"/>
  <c r="AW6" i="27"/>
  <c r="AS6" i="27"/>
  <c r="AT6" i="27" s="1"/>
  <c r="AR6" i="27"/>
  <c r="AN6" i="27"/>
  <c r="AO6" i="27" s="1"/>
  <c r="AM6" i="27"/>
  <c r="AI6" i="27"/>
  <c r="AJ6" i="27" s="1"/>
  <c r="AH6" i="27"/>
  <c r="AD6" i="27"/>
  <c r="AE6" i="27" s="1"/>
  <c r="AC6" i="27"/>
  <c r="Y6" i="27"/>
  <c r="Z6" i="27" s="1"/>
  <c r="X6" i="27"/>
  <c r="T6" i="27"/>
  <c r="U6" i="27" s="1"/>
  <c r="S6" i="27"/>
  <c r="O6" i="27"/>
  <c r="P6" i="27" s="1"/>
  <c r="N6" i="27"/>
  <c r="J6" i="27"/>
  <c r="K6" i="27" s="1"/>
  <c r="I6" i="27"/>
  <c r="E6" i="27"/>
  <c r="F6" i="27" s="1"/>
  <c r="D6" i="27"/>
  <c r="BK5" i="27"/>
  <c r="BJ5" i="27"/>
  <c r="BH5" i="27"/>
  <c r="BI5" i="27" s="1"/>
  <c r="BG5" i="27"/>
  <c r="BC5" i="27"/>
  <c r="BD5" i="27" s="1"/>
  <c r="BB5" i="27"/>
  <c r="AX5" i="27"/>
  <c r="AY5" i="27" s="1"/>
  <c r="AW5" i="27"/>
  <c r="AS5" i="27"/>
  <c r="AT5" i="27" s="1"/>
  <c r="AR5" i="27"/>
  <c r="AN5" i="27"/>
  <c r="AO5" i="27" s="1"/>
  <c r="AM5" i="27"/>
  <c r="AI5" i="27"/>
  <c r="AJ5" i="27" s="1"/>
  <c r="AH5" i="27"/>
  <c r="AD5" i="27"/>
  <c r="AE5" i="27" s="1"/>
  <c r="AC5" i="27"/>
  <c r="Y5" i="27"/>
  <c r="Z5" i="27" s="1"/>
  <c r="X5" i="27"/>
  <c r="T5" i="27"/>
  <c r="U5" i="27" s="1"/>
  <c r="S5" i="27"/>
  <c r="O5" i="27"/>
  <c r="P5" i="27" s="1"/>
  <c r="N5" i="27"/>
  <c r="J5" i="27"/>
  <c r="K5" i="27" s="1"/>
  <c r="I5" i="27"/>
  <c r="E5" i="27"/>
  <c r="F5" i="27" s="1"/>
  <c r="D5" i="27"/>
  <c r="BK4" i="27"/>
  <c r="BJ4" i="27"/>
  <c r="BH4" i="27"/>
  <c r="BI4" i="27" s="1"/>
  <c r="BG4" i="27"/>
  <c r="BC4" i="27"/>
  <c r="BD4" i="27" s="1"/>
  <c r="BB4" i="27"/>
  <c r="AX4" i="27"/>
  <c r="AY4" i="27" s="1"/>
  <c r="AW4" i="27"/>
  <c r="AS4" i="27"/>
  <c r="AT4" i="27" s="1"/>
  <c r="AR4" i="27"/>
  <c r="AN4" i="27"/>
  <c r="AO4" i="27" s="1"/>
  <c r="AM4" i="27"/>
  <c r="AI4" i="27"/>
  <c r="AJ4" i="27" s="1"/>
  <c r="AH4" i="27"/>
  <c r="AD4" i="27"/>
  <c r="AE4" i="27" s="1"/>
  <c r="AC4" i="27"/>
  <c r="Y4" i="27"/>
  <c r="Z4" i="27" s="1"/>
  <c r="X4" i="27"/>
  <c r="T4" i="27"/>
  <c r="U4" i="27" s="1"/>
  <c r="S4" i="27"/>
  <c r="O4" i="27"/>
  <c r="P4" i="27" s="1"/>
  <c r="N4" i="27"/>
  <c r="J4" i="27"/>
  <c r="K4" i="27" s="1"/>
  <c r="I4" i="27"/>
  <c r="E4" i="27"/>
  <c r="F4" i="27" s="1"/>
  <c r="D4" i="27"/>
  <c r="BF38" i="27"/>
  <c r="BA38" i="27"/>
  <c r="AL38" i="27"/>
  <c r="AG38" i="27"/>
  <c r="AB38" i="27"/>
  <c r="W38" i="27"/>
  <c r="R38" i="27"/>
  <c r="M38" i="27"/>
  <c r="H38" i="27"/>
  <c r="C38" i="27"/>
  <c r="BE38" i="27"/>
  <c r="AZ38" i="27"/>
  <c r="AV38" i="27"/>
  <c r="AU38" i="27"/>
  <c r="AQ38" i="27"/>
  <c r="AP38" i="27"/>
  <c r="AK38" i="27"/>
  <c r="AF38" i="27"/>
  <c r="AA38" i="27"/>
  <c r="V38" i="27"/>
  <c r="Q38" i="27"/>
  <c r="L38" i="27"/>
  <c r="G38" i="27"/>
  <c r="B38" i="27"/>
  <c r="BK37" i="27"/>
  <c r="BK36" i="27"/>
  <c r="BJ36" i="27"/>
  <c r="BH36" i="27"/>
  <c r="BI36" i="27" s="1"/>
  <c r="BG36" i="27"/>
  <c r="BC36" i="27"/>
  <c r="BD36" i="27" s="1"/>
  <c r="BB36" i="27"/>
  <c r="AX36" i="27"/>
  <c r="AY36" i="27" s="1"/>
  <c r="AW36" i="27"/>
  <c r="AS36" i="27"/>
  <c r="AT36" i="27" s="1"/>
  <c r="AR36" i="27"/>
  <c r="AN36" i="27"/>
  <c r="AO36" i="27" s="1"/>
  <c r="AM36" i="27"/>
  <c r="AI36" i="27"/>
  <c r="AJ36" i="27" s="1"/>
  <c r="AH36" i="27"/>
  <c r="AD36" i="27"/>
  <c r="AE36" i="27" s="1"/>
  <c r="AC36" i="27"/>
  <c r="Y36" i="27"/>
  <c r="Z36" i="27" s="1"/>
  <c r="X36" i="27"/>
  <c r="T36" i="27"/>
  <c r="U36" i="27" s="1"/>
  <c r="S36" i="27"/>
  <c r="O36" i="27"/>
  <c r="P36" i="27" s="1"/>
  <c r="N36" i="27"/>
  <c r="J36" i="27"/>
  <c r="K36" i="27" s="1"/>
  <c r="I36" i="27"/>
  <c r="E36" i="27"/>
  <c r="F36" i="27" s="1"/>
  <c r="D36" i="27"/>
  <c r="BK35" i="27"/>
  <c r="BJ35" i="27"/>
  <c r="BH35" i="27"/>
  <c r="BI35" i="27" s="1"/>
  <c r="BG35" i="27"/>
  <c r="BC35" i="27"/>
  <c r="BD35" i="27" s="1"/>
  <c r="BB35" i="27"/>
  <c r="AX35" i="27"/>
  <c r="AY35" i="27" s="1"/>
  <c r="AW35" i="27"/>
  <c r="AS35" i="27"/>
  <c r="AT35" i="27" s="1"/>
  <c r="AR35" i="27"/>
  <c r="AN35" i="27"/>
  <c r="AO35" i="27" s="1"/>
  <c r="AM35" i="27"/>
  <c r="AI35" i="27"/>
  <c r="AJ35" i="27" s="1"/>
  <c r="AH35" i="27"/>
  <c r="AD35" i="27"/>
  <c r="AE35" i="27" s="1"/>
  <c r="AC35" i="27"/>
  <c r="Y35" i="27"/>
  <c r="Z35" i="27" s="1"/>
  <c r="X35" i="27"/>
  <c r="T35" i="27"/>
  <c r="U35" i="27" s="1"/>
  <c r="S35" i="27"/>
  <c r="O35" i="27"/>
  <c r="P35" i="27" s="1"/>
  <c r="N35" i="27"/>
  <c r="J35" i="27"/>
  <c r="K35" i="27" s="1"/>
  <c r="I35" i="27"/>
  <c r="E35" i="27"/>
  <c r="F35" i="27" s="1"/>
  <c r="D35" i="27"/>
  <c r="BK34" i="27"/>
  <c r="BJ34" i="27"/>
  <c r="BH34" i="27"/>
  <c r="BI34" i="27" s="1"/>
  <c r="BG34" i="27"/>
  <c r="BC34" i="27"/>
  <c r="BD34" i="27" s="1"/>
  <c r="BB34" i="27"/>
  <c r="AX34" i="27"/>
  <c r="AY34" i="27" s="1"/>
  <c r="AW34" i="27"/>
  <c r="AS34" i="27"/>
  <c r="AT34" i="27" s="1"/>
  <c r="AR34" i="27"/>
  <c r="AN34" i="27"/>
  <c r="AO34" i="27" s="1"/>
  <c r="AM34" i="27"/>
  <c r="AI34" i="27"/>
  <c r="AJ34" i="27" s="1"/>
  <c r="AH34" i="27"/>
  <c r="AD34" i="27"/>
  <c r="AE34" i="27" s="1"/>
  <c r="AC34" i="27"/>
  <c r="Y34" i="27"/>
  <c r="Z34" i="27" s="1"/>
  <c r="X34" i="27"/>
  <c r="T34" i="27"/>
  <c r="U34" i="27" s="1"/>
  <c r="S34" i="27"/>
  <c r="O34" i="27"/>
  <c r="P34" i="27" s="1"/>
  <c r="N34" i="27"/>
  <c r="J34" i="27"/>
  <c r="K34" i="27" s="1"/>
  <c r="I34" i="27"/>
  <c r="E34" i="27"/>
  <c r="F34" i="27" s="1"/>
  <c r="D34" i="27"/>
  <c r="BK33" i="27"/>
  <c r="BJ33" i="27"/>
  <c r="BH33" i="27"/>
  <c r="BI33" i="27" s="1"/>
  <c r="BG33" i="27"/>
  <c r="BC33" i="27"/>
  <c r="BD33" i="27" s="1"/>
  <c r="BB33" i="27"/>
  <c r="AX33" i="27"/>
  <c r="AY33" i="27" s="1"/>
  <c r="AW33" i="27"/>
  <c r="AS33" i="27"/>
  <c r="AT33" i="27" s="1"/>
  <c r="AR33" i="27"/>
  <c r="AN33" i="27"/>
  <c r="AO33" i="27" s="1"/>
  <c r="AM33" i="27"/>
  <c r="AI33" i="27"/>
  <c r="AJ33" i="27" s="1"/>
  <c r="AH33" i="27"/>
  <c r="AD33" i="27"/>
  <c r="AE33" i="27" s="1"/>
  <c r="AC33" i="27"/>
  <c r="Y33" i="27"/>
  <c r="Z33" i="27" s="1"/>
  <c r="X33" i="27"/>
  <c r="T33" i="27"/>
  <c r="U33" i="27" s="1"/>
  <c r="S33" i="27"/>
  <c r="O33" i="27"/>
  <c r="P33" i="27" s="1"/>
  <c r="N33" i="27"/>
  <c r="J33" i="27"/>
  <c r="K33" i="27" s="1"/>
  <c r="I33" i="27"/>
  <c r="E33" i="27"/>
  <c r="F33" i="27" s="1"/>
  <c r="D33" i="27"/>
  <c r="BK32" i="27"/>
  <c r="BJ32" i="27"/>
  <c r="BH32" i="27"/>
  <c r="BI32" i="27" s="1"/>
  <c r="BG32" i="27"/>
  <c r="BC32" i="27"/>
  <c r="BD32" i="27" s="1"/>
  <c r="BB32" i="27"/>
  <c r="AX32" i="27"/>
  <c r="AY32" i="27" s="1"/>
  <c r="AW32" i="27"/>
  <c r="AS32" i="27"/>
  <c r="AT32" i="27" s="1"/>
  <c r="AR32" i="27"/>
  <c r="AN32" i="27"/>
  <c r="AO32" i="27" s="1"/>
  <c r="AM32" i="27"/>
  <c r="AI32" i="27"/>
  <c r="AJ32" i="27" s="1"/>
  <c r="AH32" i="27"/>
  <c r="AD32" i="27"/>
  <c r="AE32" i="27" s="1"/>
  <c r="AC32" i="27"/>
  <c r="Y32" i="27"/>
  <c r="Z32" i="27" s="1"/>
  <c r="X32" i="27"/>
  <c r="T32" i="27"/>
  <c r="U32" i="27" s="1"/>
  <c r="S32" i="27"/>
  <c r="O32" i="27"/>
  <c r="P32" i="27" s="1"/>
  <c r="N32" i="27"/>
  <c r="J32" i="27"/>
  <c r="K32" i="27" s="1"/>
  <c r="I32" i="27"/>
  <c r="E32" i="27"/>
  <c r="F32" i="27" s="1"/>
  <c r="D32" i="27"/>
  <c r="BK31" i="27"/>
  <c r="BJ31" i="27"/>
  <c r="BH31" i="27"/>
  <c r="BI31" i="27" s="1"/>
  <c r="BG31" i="27"/>
  <c r="BC31" i="27"/>
  <c r="BD31" i="27" s="1"/>
  <c r="BB31" i="27"/>
  <c r="AX31" i="27"/>
  <c r="AY31" i="27" s="1"/>
  <c r="AW31" i="27"/>
  <c r="AS31" i="27"/>
  <c r="AT31" i="27" s="1"/>
  <c r="AR31" i="27"/>
  <c r="AN31" i="27"/>
  <c r="AO31" i="27" s="1"/>
  <c r="AM31" i="27"/>
  <c r="AI31" i="27"/>
  <c r="AJ31" i="27" s="1"/>
  <c r="AH31" i="27"/>
  <c r="AD31" i="27"/>
  <c r="AE31" i="27" s="1"/>
  <c r="AC31" i="27"/>
  <c r="Y31" i="27"/>
  <c r="Z31" i="27" s="1"/>
  <c r="X31" i="27"/>
  <c r="T31" i="27"/>
  <c r="U31" i="27" s="1"/>
  <c r="S31" i="27"/>
  <c r="O31" i="27"/>
  <c r="P31" i="27" s="1"/>
  <c r="N31" i="27"/>
  <c r="J31" i="27"/>
  <c r="K31" i="27" s="1"/>
  <c r="I31" i="27"/>
  <c r="E31" i="27"/>
  <c r="F31" i="27" s="1"/>
  <c r="D31" i="27"/>
  <c r="BK30" i="27"/>
  <c r="BJ30" i="27"/>
  <c r="BH30" i="27"/>
  <c r="BI30" i="27" s="1"/>
  <c r="BG30" i="27"/>
  <c r="BC30" i="27"/>
  <c r="BD30" i="27" s="1"/>
  <c r="BB30" i="27"/>
  <c r="AX30" i="27"/>
  <c r="AY30" i="27" s="1"/>
  <c r="AW30" i="27"/>
  <c r="AS30" i="27"/>
  <c r="AT30" i="27" s="1"/>
  <c r="AR30" i="27"/>
  <c r="AN30" i="27"/>
  <c r="AO30" i="27" s="1"/>
  <c r="AM30" i="27"/>
  <c r="AI30" i="27"/>
  <c r="AJ30" i="27" s="1"/>
  <c r="AH30" i="27"/>
  <c r="AD30" i="27"/>
  <c r="AE30" i="27" s="1"/>
  <c r="AC30" i="27"/>
  <c r="Y30" i="27"/>
  <c r="Z30" i="27" s="1"/>
  <c r="X30" i="27"/>
  <c r="T30" i="27"/>
  <c r="U30" i="27" s="1"/>
  <c r="S30" i="27"/>
  <c r="O30" i="27"/>
  <c r="P30" i="27" s="1"/>
  <c r="N30" i="27"/>
  <c r="J30" i="27"/>
  <c r="K30" i="27" s="1"/>
  <c r="I30" i="27"/>
  <c r="E30" i="27"/>
  <c r="F30" i="27" s="1"/>
  <c r="D30" i="27"/>
  <c r="BK18" i="27"/>
  <c r="BK19" i="27"/>
  <c r="BK20" i="27"/>
  <c r="BK21" i="27"/>
  <c r="BK22" i="27"/>
  <c r="BK23" i="27"/>
  <c r="BK24" i="27"/>
  <c r="BK17" i="27"/>
  <c r="BJ18" i="27"/>
  <c r="BJ19" i="27"/>
  <c r="BL19" i="27" s="1"/>
  <c r="BJ20" i="27"/>
  <c r="BJ21" i="27"/>
  <c r="BJ22" i="27"/>
  <c r="BJ23" i="27"/>
  <c r="BM23" i="27" s="1"/>
  <c r="BN23" i="27" s="1"/>
  <c r="BJ17" i="27"/>
  <c r="C25" i="27"/>
  <c r="H25" i="27"/>
  <c r="M25" i="27"/>
  <c r="R25" i="27"/>
  <c r="W25" i="27"/>
  <c r="AI22" i="27"/>
  <c r="V25" i="27"/>
  <c r="Y23" i="27"/>
  <c r="Z23" i="27" s="1"/>
  <c r="X23" i="27"/>
  <c r="Y22" i="27"/>
  <c r="Z22" i="27" s="1"/>
  <c r="X22" i="27"/>
  <c r="Y21" i="27"/>
  <c r="Z21" i="27" s="1"/>
  <c r="X21" i="27"/>
  <c r="Y20" i="27"/>
  <c r="Z20" i="27" s="1"/>
  <c r="X20" i="27"/>
  <c r="Y19" i="27"/>
  <c r="Z19" i="27" s="1"/>
  <c r="X19" i="27"/>
  <c r="Y18" i="27"/>
  <c r="Z18" i="27" s="1"/>
  <c r="X18" i="27"/>
  <c r="Y17" i="27"/>
  <c r="Z17" i="27" s="1"/>
  <c r="X17" i="27"/>
  <c r="Q25" i="27"/>
  <c r="L25" i="27"/>
  <c r="T23" i="27"/>
  <c r="U23" i="27" s="1"/>
  <c r="S23" i="27"/>
  <c r="O23" i="27"/>
  <c r="P23" i="27" s="1"/>
  <c r="N23" i="27"/>
  <c r="T22" i="27"/>
  <c r="U22" i="27" s="1"/>
  <c r="S22" i="27"/>
  <c r="O22" i="27"/>
  <c r="P22" i="27" s="1"/>
  <c r="N22" i="27"/>
  <c r="T21" i="27"/>
  <c r="U21" i="27" s="1"/>
  <c r="S21" i="27"/>
  <c r="O21" i="27"/>
  <c r="P21" i="27" s="1"/>
  <c r="N21" i="27"/>
  <c r="T20" i="27"/>
  <c r="U20" i="27" s="1"/>
  <c r="S20" i="27"/>
  <c r="O20" i="27"/>
  <c r="P20" i="27" s="1"/>
  <c r="N20" i="27"/>
  <c r="T19" i="27"/>
  <c r="U19" i="27" s="1"/>
  <c r="S19" i="27"/>
  <c r="O19" i="27"/>
  <c r="P19" i="27" s="1"/>
  <c r="N19" i="27"/>
  <c r="T18" i="27"/>
  <c r="U18" i="27" s="1"/>
  <c r="S18" i="27"/>
  <c r="O18" i="27"/>
  <c r="P18" i="27" s="1"/>
  <c r="N18" i="27"/>
  <c r="T17" i="27"/>
  <c r="U17" i="27" s="1"/>
  <c r="S17" i="27"/>
  <c r="O17" i="27"/>
  <c r="P17" i="27" s="1"/>
  <c r="N17" i="27"/>
  <c r="G25" i="27"/>
  <c r="J23" i="27"/>
  <c r="K23" i="27" s="1"/>
  <c r="I23" i="27"/>
  <c r="J22" i="27"/>
  <c r="K22" i="27" s="1"/>
  <c r="I22" i="27"/>
  <c r="J21" i="27"/>
  <c r="K21" i="27" s="1"/>
  <c r="I21" i="27"/>
  <c r="J20" i="27"/>
  <c r="K20" i="27" s="1"/>
  <c r="I20" i="27"/>
  <c r="J19" i="27"/>
  <c r="K19" i="27" s="1"/>
  <c r="I19" i="27"/>
  <c r="J18" i="27"/>
  <c r="K18" i="27" s="1"/>
  <c r="I18" i="27"/>
  <c r="J17" i="27"/>
  <c r="K17" i="27" s="1"/>
  <c r="I17" i="27"/>
  <c r="B25" i="27"/>
  <c r="E23" i="27"/>
  <c r="F23" i="27" s="1"/>
  <c r="D23" i="27"/>
  <c r="E22" i="27"/>
  <c r="F22" i="27" s="1"/>
  <c r="D22" i="27"/>
  <c r="E21" i="27"/>
  <c r="F21" i="27" s="1"/>
  <c r="D21" i="27"/>
  <c r="E20" i="27"/>
  <c r="F20" i="27" s="1"/>
  <c r="D20" i="27"/>
  <c r="E19" i="27"/>
  <c r="F19" i="27" s="1"/>
  <c r="D19" i="27"/>
  <c r="E18" i="27"/>
  <c r="F18" i="27" s="1"/>
  <c r="D18" i="27"/>
  <c r="E17" i="27"/>
  <c r="F17" i="27" s="1"/>
  <c r="D17" i="27"/>
  <c r="BF25" i="27"/>
  <c r="BA25" i="27"/>
  <c r="AV25" i="27"/>
  <c r="AQ25" i="27"/>
  <c r="AL25" i="27"/>
  <c r="AG25" i="27"/>
  <c r="BE25" i="27"/>
  <c r="BH23" i="27"/>
  <c r="BI23" i="27" s="1"/>
  <c r="BG23" i="27"/>
  <c r="BH22" i="27"/>
  <c r="BI22" i="27" s="1"/>
  <c r="BG22" i="27"/>
  <c r="BH21" i="27"/>
  <c r="BI21" i="27" s="1"/>
  <c r="BG21" i="27"/>
  <c r="BH20" i="27"/>
  <c r="BI20" i="27" s="1"/>
  <c r="BG20" i="27"/>
  <c r="BH19" i="27"/>
  <c r="BI19" i="27" s="1"/>
  <c r="BG19" i="27"/>
  <c r="BH18" i="27"/>
  <c r="BI18" i="27" s="1"/>
  <c r="BG18" i="27"/>
  <c r="BH17" i="27"/>
  <c r="BI17" i="27" s="1"/>
  <c r="BG17" i="27"/>
  <c r="AZ25" i="27"/>
  <c r="BC23" i="27"/>
  <c r="BD23" i="27" s="1"/>
  <c r="BB23" i="27"/>
  <c r="BC22" i="27"/>
  <c r="BD22" i="27" s="1"/>
  <c r="BB22" i="27"/>
  <c r="BC21" i="27"/>
  <c r="BD21" i="27" s="1"/>
  <c r="BB21" i="27"/>
  <c r="BC20" i="27"/>
  <c r="BD20" i="27" s="1"/>
  <c r="BB20" i="27"/>
  <c r="BC19" i="27"/>
  <c r="BD19" i="27" s="1"/>
  <c r="BB19" i="27"/>
  <c r="BC18" i="27"/>
  <c r="BD18" i="27" s="1"/>
  <c r="BB18" i="27"/>
  <c r="BC17" i="27"/>
  <c r="BD17" i="27" s="1"/>
  <c r="BB17" i="27"/>
  <c r="AU25" i="27"/>
  <c r="AX23" i="27"/>
  <c r="AY23" i="27" s="1"/>
  <c r="AW23" i="27"/>
  <c r="AX22" i="27"/>
  <c r="AY22" i="27" s="1"/>
  <c r="AW22" i="27"/>
  <c r="AX21" i="27"/>
  <c r="AY21" i="27" s="1"/>
  <c r="AW21" i="27"/>
  <c r="AX20" i="27"/>
  <c r="AY20" i="27" s="1"/>
  <c r="AW20" i="27"/>
  <c r="AX19" i="27"/>
  <c r="AY19" i="27" s="1"/>
  <c r="AW19" i="27"/>
  <c r="AX18" i="27"/>
  <c r="AY18" i="27" s="1"/>
  <c r="AW18" i="27"/>
  <c r="AX17" i="27"/>
  <c r="AY17" i="27" s="1"/>
  <c r="AW17" i="27"/>
  <c r="AP25" i="27"/>
  <c r="AS23" i="27"/>
  <c r="AT23" i="27" s="1"/>
  <c r="AR23" i="27"/>
  <c r="AS22" i="27"/>
  <c r="AT22" i="27" s="1"/>
  <c r="AR22" i="27"/>
  <c r="AS21" i="27"/>
  <c r="AT21" i="27" s="1"/>
  <c r="AR21" i="27"/>
  <c r="AS20" i="27"/>
  <c r="AT20" i="27" s="1"/>
  <c r="AR20" i="27"/>
  <c r="AS19" i="27"/>
  <c r="AT19" i="27" s="1"/>
  <c r="AR19" i="27"/>
  <c r="AS18" i="27"/>
  <c r="AT18" i="27" s="1"/>
  <c r="AR18" i="27"/>
  <c r="AS17" i="27"/>
  <c r="AT17" i="27" s="1"/>
  <c r="AR17" i="27"/>
  <c r="J17" i="20"/>
  <c r="I17" i="20"/>
  <c r="H17" i="20"/>
  <c r="G17" i="20"/>
  <c r="F17" i="20"/>
  <c r="E17" i="20"/>
  <c r="D17" i="20"/>
  <c r="C17" i="20"/>
  <c r="J17" i="21"/>
  <c r="I17" i="21"/>
  <c r="H17" i="21"/>
  <c r="G17" i="21"/>
  <c r="F17" i="21"/>
  <c r="E17" i="21"/>
  <c r="D17" i="21"/>
  <c r="J17" i="22"/>
  <c r="H17" i="22"/>
  <c r="I17" i="22"/>
  <c r="G17" i="22"/>
  <c r="F17" i="22"/>
  <c r="E17" i="22"/>
  <c r="D17" i="22"/>
  <c r="C17" i="22"/>
  <c r="N23" i="17"/>
  <c r="M23" i="17"/>
  <c r="L23" i="17"/>
  <c r="K23" i="17"/>
  <c r="J23" i="17"/>
  <c r="I23" i="17"/>
  <c r="H23" i="17"/>
  <c r="G23" i="17"/>
  <c r="F23" i="17"/>
  <c r="E23" i="17"/>
  <c r="D23" i="17"/>
  <c r="N23" i="18"/>
  <c r="M23" i="18"/>
  <c r="L23" i="18"/>
  <c r="K23" i="18"/>
  <c r="I23" i="18"/>
  <c r="H23" i="18"/>
  <c r="G23" i="18"/>
  <c r="F23" i="18"/>
  <c r="E23" i="18"/>
  <c r="D23" i="18"/>
  <c r="N23" i="19"/>
  <c r="M23" i="19"/>
  <c r="L23" i="19"/>
  <c r="K23" i="19"/>
  <c r="H23" i="19"/>
  <c r="G23" i="19"/>
  <c r="F23" i="19"/>
  <c r="E23" i="19"/>
  <c r="D23" i="19"/>
  <c r="N23" i="21"/>
  <c r="M23" i="21"/>
  <c r="L23" i="21"/>
  <c r="K23" i="21"/>
  <c r="J23" i="21"/>
  <c r="I23" i="21"/>
  <c r="H23" i="21"/>
  <c r="G23" i="21"/>
  <c r="F23" i="21"/>
  <c r="E23" i="21"/>
  <c r="D23" i="21"/>
  <c r="N23" i="20"/>
  <c r="M23" i="20"/>
  <c r="L23" i="20"/>
  <c r="K23" i="20"/>
  <c r="G23" i="20"/>
  <c r="F23" i="20"/>
  <c r="E23" i="20"/>
  <c r="N23" i="22"/>
  <c r="M23" i="22"/>
  <c r="L23" i="22"/>
  <c r="K23" i="22"/>
  <c r="J23" i="22"/>
  <c r="G23" i="22"/>
  <c r="F23" i="22"/>
  <c r="E23" i="22"/>
  <c r="D23" i="22"/>
  <c r="N23" i="23"/>
  <c r="M23" i="23"/>
  <c r="L23" i="23"/>
  <c r="K23" i="23"/>
  <c r="G23" i="23"/>
  <c r="F23" i="23"/>
  <c r="E23" i="23"/>
  <c r="N23" i="16"/>
  <c r="M23" i="16"/>
  <c r="L23" i="16"/>
  <c r="K23" i="16"/>
  <c r="J23" i="16"/>
  <c r="I23" i="16"/>
  <c r="H23" i="16"/>
  <c r="G23" i="16"/>
  <c r="F23" i="16"/>
  <c r="E23" i="16"/>
  <c r="D23" i="16"/>
  <c r="C23" i="17"/>
  <c r="C23" i="18"/>
  <c r="C23" i="19"/>
  <c r="C23" i="21"/>
  <c r="C23" i="20"/>
  <c r="C23" i="16"/>
  <c r="N22" i="17"/>
  <c r="M22" i="17"/>
  <c r="L22" i="17"/>
  <c r="K22" i="17"/>
  <c r="J22" i="17"/>
  <c r="I22" i="17"/>
  <c r="H22" i="17"/>
  <c r="G22" i="17"/>
  <c r="F22" i="17"/>
  <c r="E22" i="17"/>
  <c r="D22" i="17"/>
  <c r="N22" i="18"/>
  <c r="M22" i="18"/>
  <c r="L22" i="18"/>
  <c r="K22" i="18"/>
  <c r="J22" i="18"/>
  <c r="I22" i="18"/>
  <c r="H22" i="18"/>
  <c r="G22" i="18"/>
  <c r="F22" i="18"/>
  <c r="E22" i="18"/>
  <c r="D22" i="18"/>
  <c r="N22" i="19"/>
  <c r="M22" i="19"/>
  <c r="L22" i="19"/>
  <c r="K22" i="19"/>
  <c r="J22" i="19"/>
  <c r="I22" i="19"/>
  <c r="H22" i="19"/>
  <c r="G22" i="19"/>
  <c r="F22" i="19"/>
  <c r="E22" i="19"/>
  <c r="D22" i="19"/>
  <c r="N22" i="21"/>
  <c r="M22" i="21"/>
  <c r="L22" i="21"/>
  <c r="K22" i="21"/>
  <c r="J22" i="21"/>
  <c r="I22" i="21"/>
  <c r="H22" i="21"/>
  <c r="G22" i="21"/>
  <c r="F22" i="21"/>
  <c r="E22" i="21"/>
  <c r="D22" i="21"/>
  <c r="N22" i="20"/>
  <c r="M22" i="20"/>
  <c r="L22" i="20"/>
  <c r="K22" i="20"/>
  <c r="J22" i="20"/>
  <c r="I22" i="20"/>
  <c r="H22" i="20"/>
  <c r="G22" i="20"/>
  <c r="F22" i="20"/>
  <c r="E22" i="20"/>
  <c r="D22" i="20"/>
  <c r="N22" i="22"/>
  <c r="M22" i="22"/>
  <c r="L22" i="22"/>
  <c r="K22" i="22"/>
  <c r="J22" i="22"/>
  <c r="I22" i="22"/>
  <c r="H22" i="22"/>
  <c r="G22" i="22"/>
  <c r="F22" i="22"/>
  <c r="E22" i="22"/>
  <c r="D22" i="22"/>
  <c r="N22" i="23"/>
  <c r="M22" i="23"/>
  <c r="L22" i="23"/>
  <c r="K22" i="23"/>
  <c r="G22" i="23"/>
  <c r="F22" i="23"/>
  <c r="E22" i="23"/>
  <c r="N22" i="16"/>
  <c r="M22" i="16"/>
  <c r="L22" i="16"/>
  <c r="K22" i="16"/>
  <c r="J22" i="16"/>
  <c r="I22" i="16"/>
  <c r="H22" i="16"/>
  <c r="G22" i="16"/>
  <c r="F22" i="16"/>
  <c r="E22" i="16"/>
  <c r="D22" i="16"/>
  <c r="C22" i="17"/>
  <c r="C22" i="18"/>
  <c r="C22" i="19"/>
  <c r="C22" i="21"/>
  <c r="C22" i="20"/>
  <c r="C22" i="22"/>
  <c r="C22" i="16"/>
  <c r="N21" i="17"/>
  <c r="M21" i="17"/>
  <c r="L21" i="17"/>
  <c r="K21" i="17"/>
  <c r="J21" i="17"/>
  <c r="I21" i="17"/>
  <c r="H21" i="17"/>
  <c r="G21" i="17"/>
  <c r="F21" i="17"/>
  <c r="E21" i="17"/>
  <c r="D21" i="17"/>
  <c r="N21" i="18"/>
  <c r="M21" i="18"/>
  <c r="L21" i="18"/>
  <c r="K21" i="18"/>
  <c r="J21" i="18"/>
  <c r="J23" i="18" s="1"/>
  <c r="I21" i="18"/>
  <c r="H21" i="18"/>
  <c r="G21" i="18"/>
  <c r="F21" i="18"/>
  <c r="E21" i="18"/>
  <c r="D21" i="18"/>
  <c r="N21" i="19"/>
  <c r="M21" i="19"/>
  <c r="L21" i="19"/>
  <c r="K21" i="19"/>
  <c r="J21" i="19"/>
  <c r="J23" i="19" s="1"/>
  <c r="I21" i="19"/>
  <c r="I23" i="19" s="1"/>
  <c r="H21" i="19"/>
  <c r="G21" i="19"/>
  <c r="F21" i="19"/>
  <c r="E21" i="19"/>
  <c r="D21" i="19"/>
  <c r="N21" i="21"/>
  <c r="M21" i="21"/>
  <c r="L21" i="21"/>
  <c r="K21" i="21"/>
  <c r="J21" i="21"/>
  <c r="I21" i="21"/>
  <c r="H21" i="21"/>
  <c r="G21" i="21"/>
  <c r="F21" i="21"/>
  <c r="E21" i="21"/>
  <c r="D21" i="21"/>
  <c r="N21" i="20"/>
  <c r="M21" i="20"/>
  <c r="L21" i="20"/>
  <c r="K21" i="20"/>
  <c r="J21" i="20"/>
  <c r="J23" i="20" s="1"/>
  <c r="I21" i="20"/>
  <c r="I23" i="20" s="1"/>
  <c r="H21" i="20"/>
  <c r="H23" i="20" s="1"/>
  <c r="G21" i="20"/>
  <c r="F21" i="20"/>
  <c r="E21" i="20"/>
  <c r="D21" i="20"/>
  <c r="D23" i="20" s="1"/>
  <c r="N21" i="22"/>
  <c r="M21" i="22"/>
  <c r="L21" i="22"/>
  <c r="K21" i="22"/>
  <c r="J21" i="22"/>
  <c r="I21" i="22"/>
  <c r="I23" i="22" s="1"/>
  <c r="H21" i="22"/>
  <c r="H23" i="22" s="1"/>
  <c r="G21" i="22"/>
  <c r="F21" i="22"/>
  <c r="E21" i="22"/>
  <c r="D21" i="22"/>
  <c r="N21" i="23"/>
  <c r="M21" i="23"/>
  <c r="L21" i="23"/>
  <c r="K21" i="23"/>
  <c r="G21" i="23"/>
  <c r="F21" i="23"/>
  <c r="E21" i="23"/>
  <c r="N21" i="16"/>
  <c r="M21" i="16"/>
  <c r="L21" i="16"/>
  <c r="K21" i="16"/>
  <c r="J21" i="16"/>
  <c r="I21" i="16"/>
  <c r="H21" i="16"/>
  <c r="G21" i="16"/>
  <c r="F21" i="16"/>
  <c r="E21" i="16"/>
  <c r="D21" i="16"/>
  <c r="C21" i="17"/>
  <c r="C21" i="18"/>
  <c r="C21" i="19"/>
  <c r="C21" i="21"/>
  <c r="C21" i="20"/>
  <c r="C21" i="22"/>
  <c r="C23" i="22" s="1"/>
  <c r="C21" i="16"/>
  <c r="N20" i="23"/>
  <c r="M20" i="23"/>
  <c r="L20" i="23"/>
  <c r="K20" i="23"/>
  <c r="J20" i="23"/>
  <c r="I20" i="23"/>
  <c r="H20" i="23"/>
  <c r="G20" i="23"/>
  <c r="F20" i="23"/>
  <c r="E20" i="23"/>
  <c r="D20" i="23"/>
  <c r="C20" i="23"/>
  <c r="C17" i="21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AS12" i="27" l="1"/>
  <c r="AT12" i="27" s="1"/>
  <c r="AH12" i="27"/>
  <c r="AD12" i="27"/>
  <c r="AE12" i="27" s="1"/>
  <c r="T12" i="27"/>
  <c r="U12" i="27" s="1"/>
  <c r="AX51" i="27"/>
  <c r="AY51" i="27" s="1"/>
  <c r="AS51" i="27"/>
  <c r="AT51" i="27" s="1"/>
  <c r="AD51" i="27"/>
  <c r="AE51" i="27" s="1"/>
  <c r="O51" i="27"/>
  <c r="P51" i="27" s="1"/>
  <c r="BM45" i="27"/>
  <c r="BN45" i="27" s="1"/>
  <c r="J51" i="27"/>
  <c r="K51" i="27" s="1"/>
  <c r="BC51" i="27"/>
  <c r="BD51" i="27" s="1"/>
  <c r="AH51" i="27"/>
  <c r="N51" i="27"/>
  <c r="D51" i="27"/>
  <c r="BG51" i="27"/>
  <c r="BB51" i="27"/>
  <c r="AR51" i="27"/>
  <c r="AN51" i="27"/>
  <c r="AO51" i="27" s="1"/>
  <c r="BM46" i="27"/>
  <c r="BN46" i="27" s="1"/>
  <c r="AI51" i="27"/>
  <c r="AJ51" i="27" s="1"/>
  <c r="AC51" i="27"/>
  <c r="S51" i="27"/>
  <c r="BM44" i="27"/>
  <c r="BN44" i="27" s="1"/>
  <c r="BM49" i="27"/>
  <c r="BN49" i="27" s="1"/>
  <c r="BM48" i="27"/>
  <c r="BN48" i="27" s="1"/>
  <c r="BM43" i="27"/>
  <c r="BN43" i="27" s="1"/>
  <c r="BM47" i="27"/>
  <c r="BN47" i="27" s="1"/>
  <c r="BK51" i="27"/>
  <c r="E51" i="27"/>
  <c r="F51" i="27" s="1"/>
  <c r="BL47" i="27"/>
  <c r="BL49" i="27"/>
  <c r="BL45" i="27"/>
  <c r="BL46" i="27"/>
  <c r="BL48" i="27"/>
  <c r="AR64" i="27"/>
  <c r="BJ64" i="27"/>
  <c r="BK64" i="27"/>
  <c r="BL64" i="27" s="1"/>
  <c r="BM60" i="27"/>
  <c r="BN60" i="27" s="1"/>
  <c r="E64" i="27"/>
  <c r="F64" i="27" s="1"/>
  <c r="BL57" i="27"/>
  <c r="I64" i="27"/>
  <c r="AW51" i="27"/>
  <c r="BL43" i="27"/>
  <c r="I51" i="27"/>
  <c r="X51" i="27"/>
  <c r="AM51" i="27"/>
  <c r="BL44" i="27"/>
  <c r="BJ51" i="27"/>
  <c r="BM8" i="27"/>
  <c r="BN8" i="27" s="1"/>
  <c r="BM9" i="27"/>
  <c r="BN9" i="27" s="1"/>
  <c r="BM4" i="27"/>
  <c r="BN4" i="27" s="1"/>
  <c r="O12" i="27"/>
  <c r="P12" i="27" s="1"/>
  <c r="D12" i="27"/>
  <c r="BL6" i="27"/>
  <c r="BM10" i="27"/>
  <c r="BN10" i="27" s="1"/>
  <c r="BL7" i="27"/>
  <c r="E12" i="27"/>
  <c r="F12" i="27" s="1"/>
  <c r="AI12" i="27"/>
  <c r="AJ12" i="27" s="1"/>
  <c r="S12" i="27"/>
  <c r="AN12" i="27"/>
  <c r="AO12" i="27" s="1"/>
  <c r="BH12" i="27"/>
  <c r="BI12" i="27" s="1"/>
  <c r="BM5" i="27"/>
  <c r="BN5" i="27" s="1"/>
  <c r="BM7" i="27"/>
  <c r="BN7" i="27" s="1"/>
  <c r="BC12" i="27"/>
  <c r="BD12" i="27" s="1"/>
  <c r="BL8" i="27"/>
  <c r="AR12" i="27"/>
  <c r="J12" i="27"/>
  <c r="K12" i="27" s="1"/>
  <c r="Y12" i="27"/>
  <c r="Z12" i="27" s="1"/>
  <c r="BG12" i="27"/>
  <c r="BL4" i="27"/>
  <c r="X12" i="27"/>
  <c r="N12" i="27"/>
  <c r="AC12" i="27"/>
  <c r="AW12" i="27"/>
  <c r="I12" i="27"/>
  <c r="BB12" i="27"/>
  <c r="BL9" i="27"/>
  <c r="BL5" i="27"/>
  <c r="BM6" i="27"/>
  <c r="BN6" i="27" s="1"/>
  <c r="BL10" i="27"/>
  <c r="BJ12" i="27"/>
  <c r="AM12" i="27"/>
  <c r="BK12" i="27"/>
  <c r="BL18" i="27"/>
  <c r="BL20" i="27"/>
  <c r="BL17" i="27"/>
  <c r="BJ25" i="27"/>
  <c r="BL23" i="27"/>
  <c r="T38" i="27"/>
  <c r="U38" i="27" s="1"/>
  <c r="BL21" i="27"/>
  <c r="BH38" i="27"/>
  <c r="BI38" i="27" s="1"/>
  <c r="BC38" i="27"/>
  <c r="BD38" i="27" s="1"/>
  <c r="AX38" i="27"/>
  <c r="AY38" i="27" s="1"/>
  <c r="AN38" i="27"/>
  <c r="AO38" i="27" s="1"/>
  <c r="AI38" i="27"/>
  <c r="AJ38" i="27" s="1"/>
  <c r="Y38" i="27"/>
  <c r="Z38" i="27" s="1"/>
  <c r="BM32" i="27"/>
  <c r="BN32" i="27" s="1"/>
  <c r="BG38" i="27"/>
  <c r="AC38" i="27"/>
  <c r="S38" i="27"/>
  <c r="N38" i="27"/>
  <c r="I38" i="27"/>
  <c r="BB38" i="27"/>
  <c r="AS38" i="27"/>
  <c r="AT38" i="27" s="1"/>
  <c r="AM38" i="27"/>
  <c r="BM36" i="27"/>
  <c r="BN36" i="27" s="1"/>
  <c r="AH38" i="27"/>
  <c r="AD38" i="27"/>
  <c r="AE38" i="27" s="1"/>
  <c r="X38" i="27"/>
  <c r="BL33" i="27"/>
  <c r="O38" i="27"/>
  <c r="P38" i="27" s="1"/>
  <c r="BL32" i="27"/>
  <c r="BL31" i="27"/>
  <c r="BM33" i="27"/>
  <c r="BN33" i="27" s="1"/>
  <c r="J38" i="27"/>
  <c r="K38" i="27" s="1"/>
  <c r="BM30" i="27"/>
  <c r="BN30" i="27" s="1"/>
  <c r="BM35" i="27"/>
  <c r="BN35" i="27" s="1"/>
  <c r="BM34" i="27"/>
  <c r="BN34" i="27" s="1"/>
  <c r="BK38" i="27"/>
  <c r="E38" i="27"/>
  <c r="F38" i="27" s="1"/>
  <c r="BL36" i="27"/>
  <c r="BM31" i="27"/>
  <c r="BN31" i="27" s="1"/>
  <c r="BL35" i="27"/>
  <c r="AR38" i="27"/>
  <c r="BL30" i="27"/>
  <c r="BL34" i="27"/>
  <c r="D38" i="27"/>
  <c r="BJ38" i="27"/>
  <c r="AW38" i="27"/>
  <c r="BK25" i="27"/>
  <c r="BM20" i="27"/>
  <c r="BN20" i="27" s="1"/>
  <c r="BM22" i="27"/>
  <c r="BN22" i="27" s="1"/>
  <c r="BM19" i="27"/>
  <c r="BN19" i="27" s="1"/>
  <c r="BL22" i="27"/>
  <c r="BM18" i="27"/>
  <c r="BN18" i="27" s="1"/>
  <c r="BM21" i="27"/>
  <c r="BN21" i="27" s="1"/>
  <c r="BM17" i="27"/>
  <c r="BN17" i="27" s="1"/>
  <c r="S25" i="27"/>
  <c r="N25" i="27"/>
  <c r="Y25" i="27"/>
  <c r="Z25" i="27" s="1"/>
  <c r="O25" i="27"/>
  <c r="P25" i="27" s="1"/>
  <c r="J25" i="27"/>
  <c r="K25" i="27" s="1"/>
  <c r="X25" i="27"/>
  <c r="T25" i="27"/>
  <c r="U25" i="27" s="1"/>
  <c r="I25" i="27"/>
  <c r="E25" i="27"/>
  <c r="F25" i="27" s="1"/>
  <c r="D25" i="27"/>
  <c r="BC25" i="27"/>
  <c r="BD25" i="27" s="1"/>
  <c r="AX25" i="27"/>
  <c r="AY25" i="27" s="1"/>
  <c r="BH25" i="27"/>
  <c r="BI25" i="27" s="1"/>
  <c r="BG25" i="27"/>
  <c r="BB25" i="27"/>
  <c r="AW25" i="27"/>
  <c r="AS25" i="27"/>
  <c r="AT25" i="27" s="1"/>
  <c r="AR25" i="27"/>
  <c r="J17" i="19"/>
  <c r="I17" i="19"/>
  <c r="H17" i="19"/>
  <c r="G17" i="19"/>
  <c r="F17" i="19"/>
  <c r="E17" i="19"/>
  <c r="D17" i="19"/>
  <c r="C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J17" i="18"/>
  <c r="I17" i="18"/>
  <c r="H17" i="18"/>
  <c r="G17" i="18"/>
  <c r="F17" i="18"/>
  <c r="E17" i="18"/>
  <c r="D17" i="18"/>
  <c r="C17" i="18"/>
  <c r="O5" i="18"/>
  <c r="O7" i="18"/>
  <c r="O8" i="18"/>
  <c r="O9" i="18"/>
  <c r="O10" i="18"/>
  <c r="O11" i="18"/>
  <c r="O12" i="18"/>
  <c r="O13" i="18"/>
  <c r="O14" i="18"/>
  <c r="O15" i="18"/>
  <c r="O16" i="18"/>
  <c r="O6" i="18"/>
  <c r="O4" i="18"/>
  <c r="J17" i="17"/>
  <c r="I17" i="17"/>
  <c r="H17" i="17"/>
  <c r="G17" i="17"/>
  <c r="F17" i="17"/>
  <c r="E17" i="17"/>
  <c r="D17" i="17"/>
  <c r="C17" i="17"/>
  <c r="O5" i="17"/>
  <c r="O7" i="17"/>
  <c r="O8" i="17"/>
  <c r="O9" i="17"/>
  <c r="O10" i="17"/>
  <c r="O11" i="17"/>
  <c r="O12" i="17"/>
  <c r="O13" i="17"/>
  <c r="O14" i="17"/>
  <c r="O15" i="17"/>
  <c r="O16" i="17"/>
  <c r="O6" i="17"/>
  <c r="O4" i="17"/>
  <c r="N17" i="16"/>
  <c r="M17" i="16"/>
  <c r="L17" i="16"/>
  <c r="K17" i="16"/>
  <c r="J17" i="16"/>
  <c r="I17" i="16"/>
  <c r="H17" i="16"/>
  <c r="G17" i="16"/>
  <c r="F17" i="16"/>
  <c r="E17" i="16"/>
  <c r="D17" i="16"/>
  <c r="C17" i="16"/>
  <c r="O5" i="16"/>
  <c r="O6" i="16"/>
  <c r="O7" i="16"/>
  <c r="O8" i="16"/>
  <c r="O9" i="16"/>
  <c r="O10" i="16"/>
  <c r="O11" i="16"/>
  <c r="O12" i="16"/>
  <c r="O13" i="16"/>
  <c r="O14" i="16"/>
  <c r="O15" i="16"/>
  <c r="O16" i="16"/>
  <c r="O4" i="16"/>
  <c r="AH17" i="27"/>
  <c r="AI17" i="27"/>
  <c r="AJ17" i="27" s="1"/>
  <c r="AI18" i="27"/>
  <c r="AJ18" i="27" s="1"/>
  <c r="AH18" i="27"/>
  <c r="AH19" i="27"/>
  <c r="AI19" i="27"/>
  <c r="AJ19" i="27" s="1"/>
  <c r="AF25" i="27"/>
  <c r="AH20" i="27"/>
  <c r="AH21" i="27"/>
  <c r="AI21" i="27"/>
  <c r="AJ21" i="27" s="1"/>
  <c r="AH22" i="27"/>
  <c r="AJ22" i="27"/>
  <c r="AI23" i="27"/>
  <c r="AJ23" i="27" s="1"/>
  <c r="AH23" i="27"/>
  <c r="AN17" i="27"/>
  <c r="AO17" i="27" s="1"/>
  <c r="AN18" i="27"/>
  <c r="AO18" i="27" s="1"/>
  <c r="AN19" i="27"/>
  <c r="AO19" i="27" s="1"/>
  <c r="AN20" i="27"/>
  <c r="AO20" i="27" s="1"/>
  <c r="AN21" i="27"/>
  <c r="AO21" i="27" s="1"/>
  <c r="AN22" i="27"/>
  <c r="AO22" i="27" s="1"/>
  <c r="AN23" i="27"/>
  <c r="AO23" i="27" s="1"/>
  <c r="AM23" i="27"/>
  <c r="AM22" i="27"/>
  <c r="AM21" i="27"/>
  <c r="AM20" i="27"/>
  <c r="AM17" i="27"/>
  <c r="AK25" i="27"/>
  <c r="G4" i="29"/>
  <c r="I4" i="29"/>
  <c r="K4" i="29"/>
  <c r="M4" i="29"/>
  <c r="S4" i="29"/>
  <c r="U4" i="29"/>
  <c r="W4" i="29"/>
  <c r="Y4" i="29"/>
  <c r="AE4" i="29"/>
  <c r="AG4" i="29"/>
  <c r="AI4" i="29"/>
  <c r="AK4" i="29"/>
  <c r="AP4" i="29"/>
  <c r="AQ4" i="29" s="1"/>
  <c r="AR4" i="29"/>
  <c r="AS4" i="29" s="1"/>
  <c r="AT4" i="29"/>
  <c r="AU4" i="29" s="1"/>
  <c r="AV4" i="29"/>
  <c r="AW4" i="29"/>
  <c r="AO13" i="29"/>
  <c r="AN13" i="29"/>
  <c r="AJ13" i="29"/>
  <c r="AH13" i="29"/>
  <c r="AF13" i="29"/>
  <c r="AD13" i="29"/>
  <c r="AE13" i="29" s="1"/>
  <c r="AC13" i="29"/>
  <c r="AB13" i="29"/>
  <c r="AA13" i="29"/>
  <c r="Z13" i="29"/>
  <c r="X13" i="29"/>
  <c r="V13" i="29"/>
  <c r="T13" i="29"/>
  <c r="R13" i="29"/>
  <c r="S13" i="29" s="1"/>
  <c r="Q13" i="29"/>
  <c r="P13" i="29"/>
  <c r="O13" i="29"/>
  <c r="N13" i="29"/>
  <c r="L13" i="29"/>
  <c r="J13" i="29"/>
  <c r="H13" i="29"/>
  <c r="F13" i="29"/>
  <c r="G13" i="29" s="1"/>
  <c r="E13" i="29"/>
  <c r="D13" i="29"/>
  <c r="C13" i="29"/>
  <c r="B13" i="29"/>
  <c r="AV12" i="29"/>
  <c r="AW12" i="29" s="1"/>
  <c r="AT12" i="29"/>
  <c r="AU12" i="29" s="1"/>
  <c r="AR12" i="29"/>
  <c r="AP12" i="29"/>
  <c r="AK12" i="29"/>
  <c r="AI12" i="29"/>
  <c r="AG12" i="29"/>
  <c r="AE12" i="29"/>
  <c r="Y12" i="29"/>
  <c r="W12" i="29"/>
  <c r="U12" i="29"/>
  <c r="S12" i="29"/>
  <c r="M12" i="29"/>
  <c r="K12" i="29"/>
  <c r="I12" i="29"/>
  <c r="G12" i="29"/>
  <c r="AV11" i="29"/>
  <c r="AW11" i="29" s="1"/>
  <c r="AT11" i="29"/>
  <c r="AU11" i="29" s="1"/>
  <c r="AR11" i="29"/>
  <c r="AP11" i="29"/>
  <c r="AK11" i="29"/>
  <c r="AI11" i="29"/>
  <c r="AG11" i="29"/>
  <c r="AE11" i="29"/>
  <c r="Y11" i="29"/>
  <c r="W11" i="29"/>
  <c r="U11" i="29"/>
  <c r="S11" i="29"/>
  <c r="M11" i="29"/>
  <c r="K11" i="29"/>
  <c r="I11" i="29"/>
  <c r="G11" i="29"/>
  <c r="AV10" i="29"/>
  <c r="AT10" i="29"/>
  <c r="AU10" i="29" s="1"/>
  <c r="AR10" i="29"/>
  <c r="AP10" i="29"/>
  <c r="AK10" i="29"/>
  <c r="AI10" i="29"/>
  <c r="AG10" i="29"/>
  <c r="AE10" i="29"/>
  <c r="Y10" i="29"/>
  <c r="W10" i="29"/>
  <c r="U10" i="29"/>
  <c r="S10" i="29"/>
  <c r="M10" i="29"/>
  <c r="K10" i="29"/>
  <c r="I10" i="29"/>
  <c r="G10" i="29"/>
  <c r="AO9" i="29"/>
  <c r="AN9" i="29"/>
  <c r="AJ9" i="29"/>
  <c r="AH9" i="29"/>
  <c r="AF9" i="29"/>
  <c r="AD9" i="29"/>
  <c r="AC9" i="29"/>
  <c r="AB9" i="29"/>
  <c r="AA9" i="29"/>
  <c r="Z9" i="29"/>
  <c r="X9" i="29"/>
  <c r="V9" i="29"/>
  <c r="T9" i="29"/>
  <c r="R9" i="29"/>
  <c r="Q9" i="29"/>
  <c r="P9" i="29"/>
  <c r="O9" i="29"/>
  <c r="N9" i="29"/>
  <c r="L9" i="29"/>
  <c r="J9" i="29"/>
  <c r="H9" i="29"/>
  <c r="F9" i="29"/>
  <c r="E9" i="29"/>
  <c r="D9" i="29"/>
  <c r="C9" i="29"/>
  <c r="B9" i="29"/>
  <c r="AV8" i="29"/>
  <c r="AW8" i="29" s="1"/>
  <c r="AT8" i="29"/>
  <c r="AU8" i="29" s="1"/>
  <c r="AR8" i="29"/>
  <c r="AP8" i="29"/>
  <c r="AK8" i="29"/>
  <c r="AI8" i="29"/>
  <c r="AG8" i="29"/>
  <c r="AE8" i="29"/>
  <c r="Y8" i="29"/>
  <c r="W8" i="29"/>
  <c r="U8" i="29"/>
  <c r="S8" i="29"/>
  <c r="M8" i="29"/>
  <c r="K8" i="29"/>
  <c r="I8" i="29"/>
  <c r="G8" i="29"/>
  <c r="AV7" i="29"/>
  <c r="AW7" i="29" s="1"/>
  <c r="AT7" i="29"/>
  <c r="AU7" i="29" s="1"/>
  <c r="AR7" i="29"/>
  <c r="AP7" i="29"/>
  <c r="AK7" i="29"/>
  <c r="AI7" i="29"/>
  <c r="AG7" i="29"/>
  <c r="AE7" i="29"/>
  <c r="Y7" i="29"/>
  <c r="W7" i="29"/>
  <c r="U7" i="29"/>
  <c r="S7" i="29"/>
  <c r="M7" i="29"/>
  <c r="K7" i="29"/>
  <c r="I7" i="29"/>
  <c r="G7" i="29"/>
  <c r="AV6" i="29"/>
  <c r="AW6" i="29" s="1"/>
  <c r="AT6" i="29"/>
  <c r="AU6" i="29" s="1"/>
  <c r="AR6" i="29"/>
  <c r="AP6" i="29"/>
  <c r="AK6" i="29"/>
  <c r="AI6" i="29"/>
  <c r="AG6" i="29"/>
  <c r="AE6" i="29"/>
  <c r="Y6" i="29"/>
  <c r="W6" i="29"/>
  <c r="U6" i="29"/>
  <c r="S6" i="29"/>
  <c r="M6" i="29"/>
  <c r="K6" i="29"/>
  <c r="I6" i="29"/>
  <c r="G6" i="29"/>
  <c r="AV5" i="29"/>
  <c r="AW5" i="29" s="1"/>
  <c r="AT5" i="29"/>
  <c r="AU5" i="29" s="1"/>
  <c r="AR5" i="29"/>
  <c r="AP5" i="29"/>
  <c r="AK5" i="29"/>
  <c r="AI5" i="29"/>
  <c r="AG5" i="29"/>
  <c r="AE5" i="29"/>
  <c r="Y5" i="29"/>
  <c r="W5" i="29"/>
  <c r="U5" i="29"/>
  <c r="S5" i="29"/>
  <c r="M5" i="29"/>
  <c r="K5" i="29"/>
  <c r="I5" i="29"/>
  <c r="G5" i="29"/>
  <c r="AV3" i="29"/>
  <c r="AW3" i="29" s="1"/>
  <c r="AT3" i="29"/>
  <c r="AU3" i="29" s="1"/>
  <c r="AR3" i="29"/>
  <c r="AP3" i="29"/>
  <c r="AK3" i="29"/>
  <c r="AI3" i="29"/>
  <c r="AG3" i="29"/>
  <c r="AE3" i="29"/>
  <c r="Y3" i="29"/>
  <c r="W3" i="29"/>
  <c r="U3" i="29"/>
  <c r="S3" i="29"/>
  <c r="M3" i="29"/>
  <c r="K3" i="29"/>
  <c r="I3" i="29"/>
  <c r="G3" i="29"/>
  <c r="F23" i="25"/>
  <c r="E23" i="25"/>
  <c r="G23" i="25" s="1"/>
  <c r="C23" i="25"/>
  <c r="B23" i="25"/>
  <c r="G22" i="25"/>
  <c r="D22" i="25"/>
  <c r="G21" i="25"/>
  <c r="D21" i="25"/>
  <c r="G20" i="25"/>
  <c r="D20" i="25"/>
  <c r="BL51" i="27" l="1"/>
  <c r="BM51" i="27"/>
  <c r="BN51" i="27" s="1"/>
  <c r="BM64" i="27"/>
  <c r="BN64" i="27" s="1"/>
  <c r="BL12" i="27"/>
  <c r="BM12" i="27"/>
  <c r="BN12" i="27" s="1"/>
  <c r="BL25" i="27"/>
  <c r="BM25" i="27"/>
  <c r="BN25" i="27" s="1"/>
  <c r="BM38" i="27"/>
  <c r="BN38" i="27" s="1"/>
  <c r="BL38" i="27"/>
  <c r="AH25" i="27"/>
  <c r="O17" i="16"/>
  <c r="P16" i="16" s="1"/>
  <c r="AI25" i="27"/>
  <c r="AJ25" i="27" s="1"/>
  <c r="AI20" i="27"/>
  <c r="AJ20" i="27" s="1"/>
  <c r="AM25" i="27"/>
  <c r="AN25" i="27"/>
  <c r="AO25" i="27" s="1"/>
  <c r="AM19" i="27"/>
  <c r="AM18" i="27"/>
  <c r="AP9" i="29"/>
  <c r="S9" i="29"/>
  <c r="AE9" i="29"/>
  <c r="U9" i="29"/>
  <c r="AG9" i="29"/>
  <c r="D14" i="29"/>
  <c r="P14" i="29"/>
  <c r="AB14" i="29"/>
  <c r="AM9" i="29"/>
  <c r="AQ8" i="29"/>
  <c r="AQ12" i="29"/>
  <c r="W9" i="29"/>
  <c r="AL13" i="29"/>
  <c r="AS6" i="29"/>
  <c r="E14" i="29"/>
  <c r="AS5" i="29"/>
  <c r="M9" i="29"/>
  <c r="Y9" i="29"/>
  <c r="AK9" i="29"/>
  <c r="Q14" i="29"/>
  <c r="AC14" i="29"/>
  <c r="I13" i="29"/>
  <c r="AG13" i="29"/>
  <c r="AS12" i="29"/>
  <c r="AS3" i="29"/>
  <c r="AS7" i="29"/>
  <c r="AQ10" i="29"/>
  <c r="H14" i="29"/>
  <c r="U13" i="29"/>
  <c r="AF14" i="29"/>
  <c r="AM13" i="29"/>
  <c r="AQ5" i="29"/>
  <c r="K9" i="29"/>
  <c r="AR13" i="29"/>
  <c r="J14" i="29"/>
  <c r="W13" i="29"/>
  <c r="AI13" i="29"/>
  <c r="AI9" i="29"/>
  <c r="AK13" i="29"/>
  <c r="AQ3" i="29"/>
  <c r="AS10" i="29"/>
  <c r="X14" i="29"/>
  <c r="G9" i="29"/>
  <c r="AQ11" i="29"/>
  <c r="B14" i="29"/>
  <c r="N14" i="29"/>
  <c r="Z14" i="29"/>
  <c r="AQ7" i="29"/>
  <c r="M13" i="29"/>
  <c r="AL9" i="29"/>
  <c r="AQ6" i="29"/>
  <c r="AS8" i="29"/>
  <c r="I9" i="29"/>
  <c r="AV13" i="29"/>
  <c r="AW13" i="29" s="1"/>
  <c r="AS11" i="29"/>
  <c r="O14" i="29"/>
  <c r="AO14" i="29"/>
  <c r="AN14" i="29"/>
  <c r="AH14" i="29"/>
  <c r="K13" i="29"/>
  <c r="AT9" i="29"/>
  <c r="AU9" i="29" s="1"/>
  <c r="L14" i="29"/>
  <c r="T14" i="29"/>
  <c r="AJ14" i="29"/>
  <c r="AP13" i="29"/>
  <c r="AW10" i="29"/>
  <c r="R14" i="29"/>
  <c r="AV9" i="29"/>
  <c r="AW9" i="29" s="1"/>
  <c r="AT13" i="29"/>
  <c r="F14" i="29"/>
  <c r="V14" i="29"/>
  <c r="AD14" i="29"/>
  <c r="AA14" i="29"/>
  <c r="AR9" i="29"/>
  <c r="AS9" i="29" s="1"/>
  <c r="C14" i="29"/>
  <c r="Y13" i="29"/>
  <c r="D23" i="25"/>
  <c r="AT6" i="26"/>
  <c r="AT9" i="26"/>
  <c r="AE11" i="26"/>
  <c r="AE10" i="26"/>
  <c r="AE9" i="26"/>
  <c r="AQ9" i="29" l="1"/>
  <c r="AS13" i="29"/>
  <c r="I14" i="29"/>
  <c r="AI14" i="29"/>
  <c r="AL14" i="29"/>
  <c r="K14" i="29"/>
  <c r="W14" i="29"/>
  <c r="U14" i="29"/>
  <c r="M14" i="29"/>
  <c r="Y14" i="29"/>
  <c r="AK14" i="29"/>
  <c r="AM14" i="29"/>
  <c r="G14" i="29"/>
  <c r="AR14" i="29"/>
  <c r="AS14" i="29" s="1"/>
  <c r="S14" i="29"/>
  <c r="AG14" i="29"/>
  <c r="AE14" i="29"/>
  <c r="AQ13" i="29"/>
  <c r="AP14" i="29"/>
  <c r="AU13" i="29"/>
  <c r="AT14" i="29"/>
  <c r="AU14" i="29" s="1"/>
  <c r="AV14" i="29"/>
  <c r="AW14" i="29" s="1"/>
  <c r="K11" i="14"/>
  <c r="M22" i="14"/>
  <c r="J11" i="14"/>
  <c r="C23" i="14"/>
  <c r="B23" i="14"/>
  <c r="H13" i="28"/>
  <c r="H9" i="28"/>
  <c r="K19" i="14"/>
  <c r="J19" i="14"/>
  <c r="K18" i="14"/>
  <c r="J18" i="14"/>
  <c r="K22" i="14"/>
  <c r="J22" i="14"/>
  <c r="K21" i="14"/>
  <c r="J21" i="14"/>
  <c r="K20" i="14"/>
  <c r="J20" i="14"/>
  <c r="K17" i="14"/>
  <c r="J17" i="14"/>
  <c r="K16" i="14"/>
  <c r="J16" i="14"/>
  <c r="K15" i="14"/>
  <c r="J15" i="14"/>
  <c r="B9" i="28"/>
  <c r="C9" i="28"/>
  <c r="D9" i="28"/>
  <c r="E9" i="28"/>
  <c r="F9" i="28"/>
  <c r="G9" i="28"/>
  <c r="D13" i="28"/>
  <c r="C13" i="28"/>
  <c r="B13" i="28"/>
  <c r="G13" i="28"/>
  <c r="F13" i="28"/>
  <c r="E13" i="28"/>
  <c r="C11" i="14"/>
  <c r="B11" i="14"/>
  <c r="G6" i="26"/>
  <c r="I6" i="26"/>
  <c r="K6" i="26"/>
  <c r="M6" i="26"/>
  <c r="S6" i="26"/>
  <c r="U6" i="26"/>
  <c r="W6" i="26"/>
  <c r="Y6" i="26"/>
  <c r="AE6" i="26"/>
  <c r="AG6" i="26"/>
  <c r="AI6" i="26"/>
  <c r="AK6" i="26"/>
  <c r="AL6" i="26"/>
  <c r="AM6" i="26"/>
  <c r="AP6" i="26"/>
  <c r="AR6" i="26"/>
  <c r="AU6" i="26"/>
  <c r="AV6" i="26"/>
  <c r="AB25" i="27"/>
  <c r="AA25" i="27"/>
  <c r="AD23" i="27"/>
  <c r="AE23" i="27" s="1"/>
  <c r="AC23" i="27"/>
  <c r="AD22" i="27"/>
  <c r="AE22" i="27" s="1"/>
  <c r="AC22" i="27"/>
  <c r="AD21" i="27"/>
  <c r="AE21" i="27" s="1"/>
  <c r="AC21" i="27"/>
  <c r="AD20" i="27"/>
  <c r="AE20" i="27" s="1"/>
  <c r="AC20" i="27"/>
  <c r="AD19" i="27"/>
  <c r="AE19" i="27" s="1"/>
  <c r="AC19" i="27"/>
  <c r="AD18" i="27"/>
  <c r="AE18" i="27" s="1"/>
  <c r="AC18" i="27"/>
  <c r="AD17" i="27"/>
  <c r="AE17" i="27" s="1"/>
  <c r="AC17" i="27"/>
  <c r="AJ12" i="26"/>
  <c r="AH12" i="26"/>
  <c r="AF12" i="26"/>
  <c r="AD12" i="26"/>
  <c r="AK11" i="26"/>
  <c r="AI11" i="26"/>
  <c r="AG11" i="26"/>
  <c r="AK10" i="26"/>
  <c r="AI10" i="26"/>
  <c r="AG10" i="26"/>
  <c r="AK9" i="26"/>
  <c r="AI9" i="26"/>
  <c r="AG9" i="26"/>
  <c r="AJ8" i="26"/>
  <c r="AH8" i="26"/>
  <c r="AF8" i="26"/>
  <c r="AD8" i="26"/>
  <c r="AK7" i="26"/>
  <c r="AI7" i="26"/>
  <c r="AG7" i="26"/>
  <c r="AE7" i="26"/>
  <c r="AK5" i="26"/>
  <c r="AI5" i="26"/>
  <c r="AG5" i="26"/>
  <c r="AE5" i="26"/>
  <c r="AK4" i="26"/>
  <c r="AI4" i="26"/>
  <c r="AG4" i="26"/>
  <c r="AE4" i="26"/>
  <c r="AK3" i="26"/>
  <c r="AI3" i="26"/>
  <c r="AG3" i="26"/>
  <c r="AE3" i="26"/>
  <c r="X12" i="26"/>
  <c r="V12" i="26"/>
  <c r="T12" i="26"/>
  <c r="R12" i="26"/>
  <c r="Y11" i="26"/>
  <c r="W11" i="26"/>
  <c r="U11" i="26"/>
  <c r="S11" i="26"/>
  <c r="Y10" i="26"/>
  <c r="W10" i="26"/>
  <c r="U10" i="26"/>
  <c r="S10" i="26"/>
  <c r="Y9" i="26"/>
  <c r="W9" i="26"/>
  <c r="U9" i="26"/>
  <c r="S9" i="26"/>
  <c r="X8" i="26"/>
  <c r="V8" i="26"/>
  <c r="T8" i="26"/>
  <c r="R8" i="26"/>
  <c r="Y7" i="26"/>
  <c r="W7" i="26"/>
  <c r="U7" i="26"/>
  <c r="S7" i="26"/>
  <c r="Y5" i="26"/>
  <c r="W5" i="26"/>
  <c r="U5" i="26"/>
  <c r="S5" i="26"/>
  <c r="Y4" i="26"/>
  <c r="W4" i="26"/>
  <c r="U4" i="26"/>
  <c r="S4" i="26"/>
  <c r="Y3" i="26"/>
  <c r="W3" i="26"/>
  <c r="U3" i="26"/>
  <c r="S3" i="26"/>
  <c r="AM11" i="26"/>
  <c r="AM10" i="26"/>
  <c r="AM9" i="26"/>
  <c r="AM7" i="26"/>
  <c r="AM5" i="26"/>
  <c r="AM4" i="26"/>
  <c r="AM3" i="26"/>
  <c r="AL10" i="26"/>
  <c r="AL11" i="26"/>
  <c r="AL9" i="26"/>
  <c r="AL4" i="26"/>
  <c r="AL5" i="26"/>
  <c r="AL7" i="26"/>
  <c r="AL3" i="26"/>
  <c r="AV11" i="26"/>
  <c r="AV10" i="26"/>
  <c r="AV9" i="26"/>
  <c r="AV7" i="26"/>
  <c r="AV5" i="26"/>
  <c r="AV4" i="26"/>
  <c r="AV3" i="26"/>
  <c r="AT11" i="26"/>
  <c r="AT10" i="26"/>
  <c r="AT7" i="26"/>
  <c r="AT5" i="26"/>
  <c r="AT4" i="26"/>
  <c r="AT3" i="26"/>
  <c r="AR11" i="26"/>
  <c r="AR10" i="26"/>
  <c r="AR9" i="26"/>
  <c r="AR7" i="26"/>
  <c r="AR5" i="26"/>
  <c r="AR4" i="26"/>
  <c r="AR3" i="26"/>
  <c r="AP10" i="26"/>
  <c r="AP11" i="26"/>
  <c r="AP9" i="26"/>
  <c r="AP4" i="26"/>
  <c r="AP5" i="26"/>
  <c r="AP7" i="26"/>
  <c r="AP3" i="26"/>
  <c r="M11" i="26"/>
  <c r="M10" i="26"/>
  <c r="M9" i="26"/>
  <c r="M4" i="26"/>
  <c r="M5" i="26"/>
  <c r="M7" i="26"/>
  <c r="M3" i="26"/>
  <c r="K10" i="26"/>
  <c r="K11" i="26"/>
  <c r="K9" i="26"/>
  <c r="K4" i="26"/>
  <c r="K5" i="26"/>
  <c r="K7" i="26"/>
  <c r="K3" i="26"/>
  <c r="I11" i="26"/>
  <c r="I10" i="26"/>
  <c r="I9" i="26"/>
  <c r="I4" i="26"/>
  <c r="I5" i="26"/>
  <c r="I7" i="26"/>
  <c r="I3" i="26"/>
  <c r="G11" i="26"/>
  <c r="G10" i="26"/>
  <c r="G9" i="26"/>
  <c r="G4" i="26"/>
  <c r="G5" i="26"/>
  <c r="G7" i="26"/>
  <c r="G3" i="26"/>
  <c r="AB12" i="26"/>
  <c r="AB8" i="26"/>
  <c r="Q12" i="26"/>
  <c r="P12" i="26"/>
  <c r="O12" i="26"/>
  <c r="N12" i="26"/>
  <c r="Q8" i="26"/>
  <c r="P8" i="26"/>
  <c r="O8" i="26"/>
  <c r="N8" i="26"/>
  <c r="J12" i="26"/>
  <c r="J8" i="26"/>
  <c r="D12" i="26"/>
  <c r="D8" i="26"/>
  <c r="F7" i="25"/>
  <c r="F15" i="25"/>
  <c r="E15" i="25"/>
  <c r="C15" i="25"/>
  <c r="B15" i="25"/>
  <c r="G14" i="25"/>
  <c r="D14" i="25"/>
  <c r="G13" i="25"/>
  <c r="D13" i="25"/>
  <c r="G12" i="25"/>
  <c r="D12" i="25"/>
  <c r="AC12" i="26"/>
  <c r="AA12" i="26"/>
  <c r="Z12" i="26"/>
  <c r="L12" i="26"/>
  <c r="H12" i="26"/>
  <c r="F12" i="26"/>
  <c r="E12" i="26"/>
  <c r="C12" i="26"/>
  <c r="B12" i="26"/>
  <c r="AC8" i="26"/>
  <c r="AA8" i="26"/>
  <c r="Z8" i="26"/>
  <c r="L8" i="26"/>
  <c r="H8" i="26"/>
  <c r="F8" i="26"/>
  <c r="E8" i="26"/>
  <c r="C8" i="26"/>
  <c r="B8" i="26"/>
  <c r="AB11" i="3"/>
  <c r="AA11" i="3"/>
  <c r="Z11" i="3"/>
  <c r="AB7" i="3"/>
  <c r="AA7" i="3"/>
  <c r="Z7" i="3"/>
  <c r="C7" i="25"/>
  <c r="G7" i="25"/>
  <c r="E7" i="25"/>
  <c r="B7" i="25"/>
  <c r="G6" i="25"/>
  <c r="G5" i="25"/>
  <c r="D6" i="25"/>
  <c r="D5" i="25"/>
  <c r="G4" i="25"/>
  <c r="D4" i="25"/>
  <c r="AQ14" i="29" l="1"/>
  <c r="AC25" i="27"/>
  <c r="AP12" i="26"/>
  <c r="AQ6" i="26"/>
  <c r="K23" i="14"/>
  <c r="H14" i="28"/>
  <c r="J23" i="14"/>
  <c r="B14" i="28"/>
  <c r="C14" i="28"/>
  <c r="D14" i="28"/>
  <c r="G14" i="28"/>
  <c r="F14" i="28"/>
  <c r="E14" i="28"/>
  <c r="AW6" i="26"/>
  <c r="AS6" i="26"/>
  <c r="I12" i="26"/>
  <c r="G8" i="26"/>
  <c r="S8" i="26"/>
  <c r="K8" i="26"/>
  <c r="AW10" i="26"/>
  <c r="W8" i="26"/>
  <c r="AO12" i="26"/>
  <c r="AN12" i="26"/>
  <c r="AL12" i="26"/>
  <c r="W12" i="26"/>
  <c r="Y12" i="26"/>
  <c r="I8" i="26"/>
  <c r="AQ11" i="26"/>
  <c r="AE12" i="26"/>
  <c r="M8" i="26"/>
  <c r="AQ10" i="26"/>
  <c r="AG12" i="26"/>
  <c r="AS10" i="26"/>
  <c r="G12" i="26"/>
  <c r="AS11" i="26"/>
  <c r="M12" i="26"/>
  <c r="K12" i="26"/>
  <c r="AQ4" i="26"/>
  <c r="AM12" i="26"/>
  <c r="Y8" i="26"/>
  <c r="AE8" i="26"/>
  <c r="AG8" i="26"/>
  <c r="AP8" i="26"/>
  <c r="AI8" i="26"/>
  <c r="AI12" i="26"/>
  <c r="AQ7" i="26"/>
  <c r="AU7" i="26"/>
  <c r="AW9" i="26"/>
  <c r="AK8" i="26"/>
  <c r="AK12" i="26"/>
  <c r="S12" i="26"/>
  <c r="AW11" i="26"/>
  <c r="AM8" i="26"/>
  <c r="U8" i="26"/>
  <c r="U12" i="26"/>
  <c r="AD25" i="27"/>
  <c r="AE25" i="27" s="1"/>
  <c r="AD13" i="26"/>
  <c r="AH13" i="26"/>
  <c r="AQ9" i="26"/>
  <c r="AT12" i="26"/>
  <c r="AJ13" i="26"/>
  <c r="AF13" i="26"/>
  <c r="AU11" i="26"/>
  <c r="AR12" i="26"/>
  <c r="AU4" i="26"/>
  <c r="R13" i="26"/>
  <c r="T13" i="26"/>
  <c r="AW7" i="26"/>
  <c r="V13" i="26"/>
  <c r="AS9" i="26"/>
  <c r="AU9" i="26"/>
  <c r="AQ5" i="26"/>
  <c r="AS7" i="26"/>
  <c r="X13" i="26"/>
  <c r="AV12" i="26"/>
  <c r="AU10" i="26"/>
  <c r="AL8" i="26"/>
  <c r="AN8" i="26"/>
  <c r="AU5" i="26"/>
  <c r="AO8" i="26"/>
  <c r="AW4" i="26"/>
  <c r="AW3" i="26"/>
  <c r="AW5" i="26"/>
  <c r="AU3" i="26"/>
  <c r="AS3" i="26"/>
  <c r="AS4" i="26"/>
  <c r="AS5" i="26"/>
  <c r="AV8" i="26"/>
  <c r="AT8" i="26"/>
  <c r="AR8" i="26"/>
  <c r="AQ3" i="26"/>
  <c r="AB13" i="26"/>
  <c r="C13" i="26"/>
  <c r="O13" i="26"/>
  <c r="P13" i="26"/>
  <c r="N13" i="26"/>
  <c r="J13" i="26"/>
  <c r="Q13" i="26"/>
  <c r="H13" i="26"/>
  <c r="F13" i="26"/>
  <c r="AA13" i="26"/>
  <c r="D13" i="26"/>
  <c r="Z13" i="26"/>
  <c r="B13" i="26"/>
  <c r="G15" i="25"/>
  <c r="D15" i="25"/>
  <c r="AC13" i="26"/>
  <c r="E13" i="26"/>
  <c r="L13" i="26"/>
  <c r="AA12" i="3"/>
  <c r="AB12" i="3"/>
  <c r="Z12" i="3"/>
  <c r="D7" i="25"/>
  <c r="AQ12" i="26" l="1"/>
  <c r="AP13" i="26"/>
  <c r="AU12" i="26"/>
  <c r="AL13" i="26"/>
  <c r="U13" i="26"/>
  <c r="AM13" i="26"/>
  <c r="AN13" i="26"/>
  <c r="AW12" i="26"/>
  <c r="AO13" i="26"/>
  <c r="AS8" i="26"/>
  <c r="AI13" i="26"/>
  <c r="AU8" i="26"/>
  <c r="AS12" i="26"/>
  <c r="G13" i="26"/>
  <c r="Y13" i="26"/>
  <c r="M13" i="26"/>
  <c r="AE13" i="26"/>
  <c r="S13" i="26"/>
  <c r="AG13" i="26"/>
  <c r="AK13" i="26"/>
  <c r="I13" i="26"/>
  <c r="W13" i="26"/>
  <c r="K13" i="26"/>
  <c r="AQ8" i="26"/>
  <c r="AR13" i="26"/>
  <c r="AV13" i="26"/>
  <c r="AW8" i="26"/>
  <c r="AT13" i="26"/>
  <c r="Y9" i="3"/>
  <c r="W9" i="3"/>
  <c r="U9" i="3"/>
  <c r="P9" i="3"/>
  <c r="N9" i="3"/>
  <c r="J9" i="3"/>
  <c r="H9" i="3"/>
  <c r="F9" i="3"/>
  <c r="Y8" i="3"/>
  <c r="W8" i="3"/>
  <c r="U8" i="3"/>
  <c r="P8" i="3"/>
  <c r="N8" i="3"/>
  <c r="J8" i="3"/>
  <c r="H8" i="3"/>
  <c r="F8" i="3"/>
  <c r="X7" i="3"/>
  <c r="V7" i="3"/>
  <c r="T7" i="3"/>
  <c r="S7" i="3"/>
  <c r="R7" i="3"/>
  <c r="Q7" i="3"/>
  <c r="O7" i="3"/>
  <c r="M7" i="3"/>
  <c r="L7" i="3"/>
  <c r="K7" i="3"/>
  <c r="I7" i="3"/>
  <c r="G7" i="3"/>
  <c r="E7" i="3"/>
  <c r="D7" i="3"/>
  <c r="C7" i="3"/>
  <c r="B7" i="3"/>
  <c r="Y6" i="3"/>
  <c r="W6" i="3"/>
  <c r="U6" i="3"/>
  <c r="P6" i="3"/>
  <c r="N6" i="3"/>
  <c r="J6" i="3"/>
  <c r="H6" i="3"/>
  <c r="F6" i="3"/>
  <c r="Y5" i="3"/>
  <c r="W5" i="3"/>
  <c r="U5" i="3"/>
  <c r="P5" i="3"/>
  <c r="N5" i="3"/>
  <c r="J5" i="3"/>
  <c r="H5" i="3"/>
  <c r="F5" i="3"/>
  <c r="Y4" i="3"/>
  <c r="W4" i="3"/>
  <c r="U4" i="3"/>
  <c r="P4" i="3"/>
  <c r="N4" i="3"/>
  <c r="J4" i="3"/>
  <c r="H4" i="3"/>
  <c r="F4" i="3"/>
  <c r="Y3" i="3"/>
  <c r="W3" i="3"/>
  <c r="U3" i="3"/>
  <c r="P3" i="3"/>
  <c r="N3" i="3"/>
  <c r="J3" i="3"/>
  <c r="H3" i="3"/>
  <c r="F3" i="3"/>
  <c r="AH10" i="3"/>
  <c r="AH9" i="3"/>
  <c r="AH8" i="3"/>
  <c r="AH4" i="3"/>
  <c r="AH5" i="3"/>
  <c r="AH6" i="3"/>
  <c r="AH3" i="3"/>
  <c r="AF9" i="3"/>
  <c r="AF10" i="3"/>
  <c r="AF8" i="3"/>
  <c r="AF4" i="3"/>
  <c r="AF5" i="3"/>
  <c r="AF6" i="3"/>
  <c r="AF3" i="3"/>
  <c r="Y10" i="3"/>
  <c r="W10" i="3"/>
  <c r="U10" i="3"/>
  <c r="M9" i="14"/>
  <c r="N9" i="14" s="1"/>
  <c r="L9" i="14"/>
  <c r="M8" i="14"/>
  <c r="N8" i="14" s="1"/>
  <c r="L8" i="14"/>
  <c r="M7" i="14"/>
  <c r="N7" i="14" s="1"/>
  <c r="L7" i="14"/>
  <c r="M6" i="14"/>
  <c r="N6" i="14" s="1"/>
  <c r="L6" i="14"/>
  <c r="M5" i="14"/>
  <c r="N5" i="14" s="1"/>
  <c r="L5" i="14"/>
  <c r="M4" i="14"/>
  <c r="N4" i="14" s="1"/>
  <c r="L4" i="14"/>
  <c r="M3" i="14"/>
  <c r="N3" i="14" s="1"/>
  <c r="L3" i="14"/>
  <c r="X11" i="3"/>
  <c r="V11" i="3"/>
  <c r="R11" i="3"/>
  <c r="M21" i="14"/>
  <c r="N21" i="14" s="1"/>
  <c r="L21" i="14"/>
  <c r="M20" i="14"/>
  <c r="N20" i="14" s="1"/>
  <c r="L20" i="14"/>
  <c r="M19" i="14"/>
  <c r="N19" i="14" s="1"/>
  <c r="L19" i="14"/>
  <c r="M18" i="14"/>
  <c r="N18" i="14" s="1"/>
  <c r="L18" i="14"/>
  <c r="M17" i="14"/>
  <c r="N17" i="14" s="1"/>
  <c r="L17" i="14"/>
  <c r="M16" i="14"/>
  <c r="N16" i="14" s="1"/>
  <c r="L16" i="14"/>
  <c r="M15" i="14"/>
  <c r="N15" i="14" s="1"/>
  <c r="L15" i="14"/>
  <c r="AC7" i="3"/>
  <c r="AD7" i="3"/>
  <c r="AE7" i="3"/>
  <c r="AG7" i="3"/>
  <c r="T11" i="3"/>
  <c r="S11" i="3"/>
  <c r="Q11" i="3"/>
  <c r="P10" i="3"/>
  <c r="N10" i="3"/>
  <c r="O11" i="3"/>
  <c r="M11" i="3"/>
  <c r="L11" i="3"/>
  <c r="K11" i="3"/>
  <c r="AG11" i="3"/>
  <c r="AD11" i="3"/>
  <c r="AE11" i="3"/>
  <c r="AC11" i="3"/>
  <c r="E21" i="14"/>
  <c r="F21" i="14" s="1"/>
  <c r="D21" i="14"/>
  <c r="E20" i="14"/>
  <c r="F20" i="14" s="1"/>
  <c r="D20" i="14"/>
  <c r="E19" i="14"/>
  <c r="F19" i="14" s="1"/>
  <c r="D19" i="14"/>
  <c r="E18" i="14"/>
  <c r="F18" i="14" s="1"/>
  <c r="D18" i="14"/>
  <c r="E17" i="14"/>
  <c r="F17" i="14" s="1"/>
  <c r="D17" i="14"/>
  <c r="E16" i="14"/>
  <c r="F16" i="14" s="1"/>
  <c r="D16" i="14"/>
  <c r="E15" i="14"/>
  <c r="F15" i="14" s="1"/>
  <c r="D15" i="14"/>
  <c r="F10" i="3"/>
  <c r="N17" i="17"/>
  <c r="N17" i="18"/>
  <c r="N17" i="19"/>
  <c r="N17" i="20"/>
  <c r="N17" i="21"/>
  <c r="N17" i="22"/>
  <c r="M17" i="17"/>
  <c r="M17" i="18"/>
  <c r="M17" i="19"/>
  <c r="M17" i="20"/>
  <c r="M17" i="21"/>
  <c r="M17" i="22"/>
  <c r="L17" i="17"/>
  <c r="L17" i="18"/>
  <c r="L17" i="19"/>
  <c r="L17" i="20"/>
  <c r="L17" i="21"/>
  <c r="L17" i="22"/>
  <c r="K17" i="17"/>
  <c r="K17" i="18"/>
  <c r="K17" i="19"/>
  <c r="K17" i="20"/>
  <c r="K17" i="21"/>
  <c r="K17" i="22"/>
  <c r="N15" i="23"/>
  <c r="M15" i="23"/>
  <c r="L15" i="23"/>
  <c r="K15" i="23"/>
  <c r="J15" i="23"/>
  <c r="I15" i="23"/>
  <c r="N14" i="23"/>
  <c r="M14" i="23"/>
  <c r="L14" i="23"/>
  <c r="K14" i="23"/>
  <c r="J14" i="23"/>
  <c r="I14" i="23"/>
  <c r="N13" i="23"/>
  <c r="M13" i="23"/>
  <c r="L13" i="23"/>
  <c r="K13" i="23"/>
  <c r="J13" i="23"/>
  <c r="I13" i="23"/>
  <c r="N12" i="23"/>
  <c r="M12" i="23"/>
  <c r="L12" i="23"/>
  <c r="K12" i="23"/>
  <c r="J12" i="23"/>
  <c r="I12" i="23"/>
  <c r="N11" i="23"/>
  <c r="M11" i="23"/>
  <c r="L11" i="23"/>
  <c r="K11" i="23"/>
  <c r="J11" i="23"/>
  <c r="I11" i="23"/>
  <c r="N10" i="23"/>
  <c r="M10" i="23"/>
  <c r="L10" i="23"/>
  <c r="K10" i="23"/>
  <c r="J10" i="23"/>
  <c r="I10" i="23"/>
  <c r="N9" i="23"/>
  <c r="M9" i="23"/>
  <c r="L9" i="23"/>
  <c r="K9" i="23"/>
  <c r="J9" i="23"/>
  <c r="I9" i="23"/>
  <c r="N8" i="23"/>
  <c r="M8" i="23"/>
  <c r="L8" i="23"/>
  <c r="K8" i="23"/>
  <c r="J8" i="23"/>
  <c r="I8" i="23"/>
  <c r="N7" i="23"/>
  <c r="M7" i="23"/>
  <c r="L7" i="23"/>
  <c r="K7" i="23"/>
  <c r="J7" i="23"/>
  <c r="I7" i="23"/>
  <c r="N6" i="23"/>
  <c r="M6" i="23"/>
  <c r="L6" i="23"/>
  <c r="K6" i="23"/>
  <c r="J6" i="23"/>
  <c r="I6" i="23"/>
  <c r="N5" i="23"/>
  <c r="M5" i="23"/>
  <c r="L5" i="23"/>
  <c r="K5" i="23"/>
  <c r="J5" i="23"/>
  <c r="I5" i="23"/>
  <c r="N4" i="23"/>
  <c r="M4" i="23"/>
  <c r="L4" i="23"/>
  <c r="K4" i="23"/>
  <c r="J4" i="23"/>
  <c r="I4" i="23"/>
  <c r="C5" i="23"/>
  <c r="D5" i="23"/>
  <c r="E5" i="23"/>
  <c r="F5" i="23"/>
  <c r="G5" i="23"/>
  <c r="H5" i="23"/>
  <c r="C6" i="23"/>
  <c r="D6" i="23"/>
  <c r="E6" i="23"/>
  <c r="F6" i="23"/>
  <c r="G6" i="23"/>
  <c r="H6" i="23"/>
  <c r="C7" i="23"/>
  <c r="D7" i="23"/>
  <c r="E7" i="23"/>
  <c r="F7" i="23"/>
  <c r="G7" i="23"/>
  <c r="H7" i="23"/>
  <c r="C8" i="23"/>
  <c r="D8" i="23"/>
  <c r="E8" i="23"/>
  <c r="F8" i="23"/>
  <c r="G8" i="23"/>
  <c r="H8" i="23"/>
  <c r="C9" i="23"/>
  <c r="D9" i="23"/>
  <c r="E9" i="23"/>
  <c r="F9" i="23"/>
  <c r="G9" i="23"/>
  <c r="H9" i="23"/>
  <c r="C10" i="23"/>
  <c r="D10" i="23"/>
  <c r="E10" i="23"/>
  <c r="F10" i="23"/>
  <c r="G10" i="23"/>
  <c r="H10" i="23"/>
  <c r="C11" i="23"/>
  <c r="D11" i="23"/>
  <c r="E11" i="23"/>
  <c r="F11" i="23"/>
  <c r="G11" i="23"/>
  <c r="H11" i="23"/>
  <c r="C12" i="23"/>
  <c r="D12" i="23"/>
  <c r="E12" i="23"/>
  <c r="F12" i="23"/>
  <c r="G12" i="23"/>
  <c r="H12" i="23"/>
  <c r="C13" i="23"/>
  <c r="D13" i="23"/>
  <c r="E13" i="23"/>
  <c r="F13" i="23"/>
  <c r="G13" i="23"/>
  <c r="H13" i="23"/>
  <c r="C14" i="23"/>
  <c r="D14" i="23"/>
  <c r="E14" i="23"/>
  <c r="F14" i="23"/>
  <c r="G14" i="23"/>
  <c r="H14" i="23"/>
  <c r="C15" i="23"/>
  <c r="D15" i="23"/>
  <c r="E15" i="23"/>
  <c r="F15" i="23"/>
  <c r="G15" i="23"/>
  <c r="H15" i="23"/>
  <c r="H4" i="23"/>
  <c r="G4" i="23"/>
  <c r="F4" i="23"/>
  <c r="E4" i="23"/>
  <c r="D4" i="23"/>
  <c r="C4" i="23"/>
  <c r="O17" i="22"/>
  <c r="O17" i="21"/>
  <c r="O17" i="20"/>
  <c r="O17" i="19"/>
  <c r="O17" i="18"/>
  <c r="P9" i="16"/>
  <c r="O17" i="17"/>
  <c r="P4" i="17" s="1"/>
  <c r="P12" i="22" l="1"/>
  <c r="P16" i="22"/>
  <c r="P10" i="20"/>
  <c r="P16" i="20"/>
  <c r="P17" i="21"/>
  <c r="P16" i="21"/>
  <c r="C22" i="23"/>
  <c r="C21" i="23"/>
  <c r="C23" i="23" s="1"/>
  <c r="J22" i="23"/>
  <c r="J21" i="23"/>
  <c r="J23" i="23" s="1"/>
  <c r="P7" i="20"/>
  <c r="I21" i="23"/>
  <c r="I23" i="23" s="1"/>
  <c r="I22" i="23"/>
  <c r="P17" i="20"/>
  <c r="H22" i="23"/>
  <c r="H21" i="23"/>
  <c r="H23" i="23" s="1"/>
  <c r="D22" i="23"/>
  <c r="D21" i="23"/>
  <c r="D23" i="23" s="1"/>
  <c r="P15" i="20"/>
  <c r="P4" i="20"/>
  <c r="P11" i="22"/>
  <c r="P9" i="20"/>
  <c r="P8" i="20"/>
  <c r="P14" i="21"/>
  <c r="P13" i="21"/>
  <c r="P6" i="21"/>
  <c r="P5" i="21"/>
  <c r="P5" i="19"/>
  <c r="P16" i="19"/>
  <c r="P4" i="19"/>
  <c r="P12" i="19"/>
  <c r="P11" i="19"/>
  <c r="P10" i="19"/>
  <c r="P9" i="19"/>
  <c r="P17" i="19"/>
  <c r="P14" i="18"/>
  <c r="P7" i="18"/>
  <c r="P15" i="18"/>
  <c r="P8" i="18"/>
  <c r="P16" i="18"/>
  <c r="P9" i="18"/>
  <c r="P10" i="18"/>
  <c r="P11" i="18"/>
  <c r="P12" i="18"/>
  <c r="P13" i="18"/>
  <c r="P5" i="18"/>
  <c r="P4" i="18"/>
  <c r="P17" i="18"/>
  <c r="P6" i="18"/>
  <c r="P14" i="17"/>
  <c r="P10" i="17"/>
  <c r="P7" i="17"/>
  <c r="P15" i="17"/>
  <c r="P9" i="17"/>
  <c r="P13" i="17"/>
  <c r="P8" i="17"/>
  <c r="P16" i="17"/>
  <c r="P11" i="17"/>
  <c r="P12" i="17"/>
  <c r="P17" i="17"/>
  <c r="P6" i="17"/>
  <c r="O14" i="23"/>
  <c r="O6" i="23"/>
  <c r="O4" i="23"/>
  <c r="O10" i="23"/>
  <c r="O9" i="23"/>
  <c r="P10" i="22"/>
  <c r="P9" i="22"/>
  <c r="P12" i="21"/>
  <c r="P8" i="22"/>
  <c r="P11" i="21"/>
  <c r="P14" i="20"/>
  <c r="P6" i="20"/>
  <c r="O15" i="23"/>
  <c r="O7" i="23"/>
  <c r="K17" i="23"/>
  <c r="P15" i="22"/>
  <c r="P7" i="22"/>
  <c r="P10" i="21"/>
  <c r="P13" i="20"/>
  <c r="P5" i="20"/>
  <c r="P8" i="19"/>
  <c r="O11" i="23"/>
  <c r="L17" i="23"/>
  <c r="P14" i="22"/>
  <c r="P6" i="22"/>
  <c r="P9" i="21"/>
  <c r="P12" i="20"/>
  <c r="P15" i="19"/>
  <c r="P7" i="19"/>
  <c r="P5" i="17"/>
  <c r="O13" i="23"/>
  <c r="O5" i="23"/>
  <c r="P4" i="22"/>
  <c r="P13" i="22"/>
  <c r="P5" i="22"/>
  <c r="P8" i="21"/>
  <c r="P11" i="20"/>
  <c r="P14" i="19"/>
  <c r="P6" i="19"/>
  <c r="P17" i="22"/>
  <c r="O12" i="23"/>
  <c r="O8" i="23"/>
  <c r="P4" i="21"/>
  <c r="P15" i="21"/>
  <c r="P7" i="21"/>
  <c r="P13" i="19"/>
  <c r="P8" i="16"/>
  <c r="P7" i="16"/>
  <c r="P6" i="16"/>
  <c r="P17" i="16"/>
  <c r="M17" i="23"/>
  <c r="P14" i="16"/>
  <c r="P13" i="16"/>
  <c r="I17" i="23"/>
  <c r="P11" i="16"/>
  <c r="P15" i="16"/>
  <c r="N17" i="23"/>
  <c r="P4" i="16"/>
  <c r="P5" i="16"/>
  <c r="P12" i="16"/>
  <c r="J17" i="23"/>
  <c r="P10" i="16"/>
  <c r="AQ13" i="26"/>
  <c r="AS13" i="26"/>
  <c r="AW13" i="26"/>
  <c r="AU13" i="26"/>
  <c r="H7" i="3"/>
  <c r="AH11" i="3"/>
  <c r="F7" i="3"/>
  <c r="W7" i="3"/>
  <c r="Y7" i="3"/>
  <c r="P7" i="3"/>
  <c r="J7" i="3"/>
  <c r="N7" i="3"/>
  <c r="U7" i="3"/>
  <c r="AH7" i="3"/>
  <c r="M11" i="14"/>
  <c r="N11" i="14" s="1"/>
  <c r="L11" i="14"/>
  <c r="W11" i="3"/>
  <c r="X12" i="3"/>
  <c r="V12" i="3"/>
  <c r="AF7" i="3"/>
  <c r="AF11" i="3"/>
  <c r="L23" i="14"/>
  <c r="R12" i="3"/>
  <c r="M23" i="14"/>
  <c r="N23" i="14" s="1"/>
  <c r="Q12" i="3"/>
  <c r="S12" i="3"/>
  <c r="N11" i="3"/>
  <c r="P11" i="3"/>
  <c r="U11" i="3"/>
  <c r="Y11" i="3"/>
  <c r="T12" i="3"/>
  <c r="O12" i="3"/>
  <c r="M12" i="3"/>
  <c r="K12" i="3"/>
  <c r="L12" i="3"/>
  <c r="D23" i="14"/>
  <c r="E23" i="14"/>
  <c r="F23" i="14" s="1"/>
  <c r="AG12" i="3"/>
  <c r="AD12" i="3"/>
  <c r="AE12" i="3"/>
  <c r="AC12" i="3"/>
  <c r="C17" i="23"/>
  <c r="D17" i="23"/>
  <c r="E17" i="23"/>
  <c r="F17" i="23"/>
  <c r="G17" i="23"/>
  <c r="H17" i="23"/>
  <c r="D4" i="14"/>
  <c r="D6" i="14"/>
  <c r="D7" i="14"/>
  <c r="D8" i="14"/>
  <c r="D9" i="14"/>
  <c r="D5" i="14"/>
  <c r="D3" i="14"/>
  <c r="E4" i="14"/>
  <c r="F4" i="14" s="1"/>
  <c r="E6" i="14"/>
  <c r="F6" i="14" s="1"/>
  <c r="E7" i="14"/>
  <c r="F7" i="14" s="1"/>
  <c r="E8" i="14"/>
  <c r="F8" i="14" s="1"/>
  <c r="E9" i="14"/>
  <c r="F9" i="14" s="1"/>
  <c r="E5" i="14"/>
  <c r="F5" i="14" s="1"/>
  <c r="E3" i="14"/>
  <c r="F3" i="14" s="1"/>
  <c r="J10" i="3"/>
  <c r="H10" i="3"/>
  <c r="I11" i="3"/>
  <c r="G11" i="3"/>
  <c r="E11" i="3"/>
  <c r="D11" i="3"/>
  <c r="C11" i="3"/>
  <c r="B11" i="3"/>
  <c r="O17" i="23" l="1"/>
  <c r="AF12" i="3"/>
  <c r="W12" i="3"/>
  <c r="AH12" i="3"/>
  <c r="U12" i="3"/>
  <c r="Y12" i="3"/>
  <c r="P12" i="3"/>
  <c r="N12" i="3"/>
  <c r="J11" i="3"/>
  <c r="H11" i="3"/>
  <c r="E11" i="14"/>
  <c r="F11" i="14" s="1"/>
  <c r="D11" i="14"/>
  <c r="C12" i="3"/>
  <c r="I12" i="3"/>
  <c r="D12" i="3"/>
  <c r="F11" i="3"/>
  <c r="B12" i="3"/>
  <c r="G12" i="3"/>
  <c r="E12" i="3"/>
  <c r="P17" i="23" l="1"/>
  <c r="P4" i="23"/>
  <c r="P10" i="23"/>
  <c r="P13" i="23"/>
  <c r="P6" i="23"/>
  <c r="P5" i="23"/>
  <c r="P7" i="23"/>
  <c r="P11" i="23"/>
  <c r="P9" i="23"/>
  <c r="P15" i="23"/>
  <c r="P12" i="23"/>
  <c r="P8" i="23"/>
  <c r="P14" i="23"/>
  <c r="F12" i="3"/>
  <c r="H12" i="3"/>
  <c r="J12" i="3"/>
</calcChain>
</file>

<file path=xl/sharedStrings.xml><?xml version="1.0" encoding="utf-8"?>
<sst xmlns="http://schemas.openxmlformats.org/spreadsheetml/2006/main" count="1052" uniqueCount="108">
  <si>
    <t>RISHAD</t>
  </si>
  <si>
    <t>JISHNU</t>
  </si>
  <si>
    <t>JYOTHISH</t>
  </si>
  <si>
    <t>SANEESH</t>
  </si>
  <si>
    <t>SUMESH</t>
  </si>
  <si>
    <t>SANDEEP</t>
  </si>
  <si>
    <t>BKGS</t>
  </si>
  <si>
    <t>JIJEESH</t>
  </si>
  <si>
    <t>TOTAL</t>
  </si>
  <si>
    <t>IN STOCK</t>
  </si>
  <si>
    <t>RETAIL</t>
  </si>
  <si>
    <t>1-10 Commitment</t>
  </si>
  <si>
    <t>MALAPPURAM</t>
  </si>
  <si>
    <t>KOTTAKKAL</t>
  </si>
  <si>
    <t>APR</t>
  </si>
  <si>
    <t>PONNANI</t>
  </si>
  <si>
    <t>KONDOTTY</t>
  </si>
  <si>
    <t>FEB</t>
  </si>
  <si>
    <t>PERINTHALMANNA</t>
  </si>
  <si>
    <t>NILAMBUR</t>
  </si>
  <si>
    <t>MAY</t>
  </si>
  <si>
    <t>JUN</t>
  </si>
  <si>
    <t>%</t>
  </si>
  <si>
    <t>THIRUR</t>
  </si>
  <si>
    <t>THIRURANGADI</t>
  </si>
  <si>
    <t>OTHERS</t>
  </si>
  <si>
    <t>Total</t>
  </si>
  <si>
    <t>CLASSIC</t>
  </si>
  <si>
    <t>RTO</t>
  </si>
  <si>
    <t>JAN</t>
  </si>
  <si>
    <t>MAR</t>
  </si>
  <si>
    <t>JUL</t>
  </si>
  <si>
    <t>AUG</t>
  </si>
  <si>
    <t>SEP</t>
  </si>
  <si>
    <t>OCT</t>
  </si>
  <si>
    <t>NOV</t>
  </si>
  <si>
    <t>DEC</t>
  </si>
  <si>
    <t>TOYOTA KIRLOSKAR MOTOR PVT LTD</t>
  </si>
  <si>
    <t>TATA PASSENGER ELECTRIC MOBILITY LTD</t>
  </si>
  <si>
    <t>TATA MOTORS PASSENGER VEHICLES LTD</t>
  </si>
  <si>
    <t>SKODA AUTO VOLKSWAGEN INDIA PVT LTD</t>
  </si>
  <si>
    <t>RENAULT INDIA PVT LTD</t>
  </si>
  <si>
    <t>NISSAN MOTOR INDIA PVT LTD</t>
  </si>
  <si>
    <t>MG MOTOR INDIA PVT LTD</t>
  </si>
  <si>
    <t>MARUTI SUZUKI INDIA LTD</t>
  </si>
  <si>
    <t>MAHINDRA &amp; MAHINDRA LIMITED</t>
  </si>
  <si>
    <t>KIA MOTORS INDIA PVT LTD</t>
  </si>
  <si>
    <t>HYUNDAI MOTOR INDIA LTD</t>
  </si>
  <si>
    <t>HONDA CARS INDIA LTD</t>
  </si>
  <si>
    <t>     TOTAL     </t>
  </si>
  <si>
    <t xml:space="preserve">Month Wise </t>
  </si>
  <si>
    <t>                      Maker                       </t>
  </si>
  <si>
    <t>S No</t>
  </si>
  <si>
    <t>Maker Month Wise Data  of MALAPPURAM RTO - KL10 , Kerala (2023)</t>
  </si>
  <si>
    <t>Maker Month Wise Data  of KONDOTTY SRTO - KL84 , Kerala (2023)</t>
  </si>
  <si>
    <t>Maker Month Wise Data  of NILAMBUR SRTO - KL71 , Kerala (2023)</t>
  </si>
  <si>
    <t>Maker Month Wise Data  of PERINTHALMANNA SRTO - KL53 , Kerala (2023)</t>
  </si>
  <si>
    <t>Maker Month Wise Data  of THIRURANGADI SRTO - KL65 , Kerala (2023)</t>
  </si>
  <si>
    <t>Maker Month Wise Data  of THIRUR SRTO - KL55 , Kerala (2023)</t>
  </si>
  <si>
    <t>Maker Month Wise Data  of PONNANI SRTO - KL54 , Kerala (2023)</t>
  </si>
  <si>
    <t>Maker Month Wise Data  of MALAPPURAM RTO - DISTRICT, Kerala (2023)</t>
  </si>
  <si>
    <t>ACTUAL</t>
  </si>
  <si>
    <t>TDY</t>
  </si>
  <si>
    <t>TP</t>
  </si>
  <si>
    <t>RTO WISE REPORT TILL 11--17</t>
  </si>
  <si>
    <t>18-27 Commitment</t>
  </si>
  <si>
    <t>11-17 Commitment</t>
  </si>
  <si>
    <t>RTO WISE REPORT TILL 1--10</t>
  </si>
  <si>
    <t>Last Booking Date</t>
  </si>
  <si>
    <t>TL/ASM</t>
  </si>
  <si>
    <t>MPM</t>
  </si>
  <si>
    <t>KKL</t>
  </si>
  <si>
    <t>WYD</t>
  </si>
  <si>
    <t>REGION</t>
  </si>
  <si>
    <t>WHOLESALE</t>
  </si>
  <si>
    <t>HMIL TARGET JUNE 2023</t>
  </si>
  <si>
    <t>TGT</t>
  </si>
  <si>
    <t>ACH</t>
  </si>
  <si>
    <t>ACH TILL 30-06-2023</t>
  </si>
  <si>
    <t>ACH 18-27</t>
  </si>
  <si>
    <t>ACH TILL 11-17</t>
  </si>
  <si>
    <t>ACH TILL 1-10</t>
  </si>
  <si>
    <t>HMIL TARGET JULY 2023</t>
  </si>
  <si>
    <t>Commitment Jul-23</t>
  </si>
  <si>
    <t>ACH Jul-23</t>
  </si>
  <si>
    <t>KHAYYOOM</t>
  </si>
  <si>
    <t>OTHER</t>
  </si>
  <si>
    <t>18-28 Commitment</t>
  </si>
  <si>
    <t>ACH TILL 1-10(JULY)</t>
  </si>
  <si>
    <t>ACH TILL 1-10(JUNE)</t>
  </si>
  <si>
    <t>-</t>
  </si>
  <si>
    <t>Month Comparison</t>
  </si>
  <si>
    <t>July Commitment</t>
  </si>
  <si>
    <t>EDAPPAL</t>
  </si>
  <si>
    <t>SHAGEETH</t>
  </si>
  <si>
    <t>RTO WISE REPORT JULY-2023</t>
  </si>
  <si>
    <t>RTO WISE REPORT TILL 18--31</t>
  </si>
  <si>
    <t>HMIL TARGET AUG 2023</t>
  </si>
  <si>
    <t>NASEEHA</t>
  </si>
  <si>
    <t>CLASSIC HYUNDAI - REGISTRATION</t>
  </si>
  <si>
    <t>CO- DEALERS REGISTRATION</t>
  </si>
  <si>
    <t xml:space="preserve">% OF CLASSIC HYUNDAI </t>
  </si>
  <si>
    <t>% OF CO- DEALER</t>
  </si>
  <si>
    <t>RTO WISE REPORT - 2023</t>
  </si>
  <si>
    <t>RTO WISE REPORT - 2022</t>
  </si>
  <si>
    <t>RTO WISE REPORT - 2024</t>
  </si>
  <si>
    <t>RTO WISE REPORT - 2021</t>
  </si>
  <si>
    <t>RTO WISE REPORT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</si>
</sst>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Bookman Old Style"/>
      <family val="1"/>
    </font>
    <font>
      <b/>
      <sz val="10"/>
      <name val="Bookman Old Style"/>
      <family val="1"/>
    </font>
    <font>
      <b/>
      <sz val="10"/>
      <color indexed="8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7" fillId="0" borderId="0"/>
  </cellStyleXfs>
  <cellXfs count="164">
    <xf numFmtId="0" fontId="0" fillId="0" borderId="0" xfId="0"/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9" fontId="3" fillId="8" borderId="1" xfId="1" applyFont="1" applyFill="1" applyBorder="1" applyAlignment="1">
      <alignment horizontal="center" vertical="center"/>
    </xf>
    <xf numFmtId="9" fontId="3" fillId="8" borderId="7" xfId="1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9" fontId="3" fillId="8" borderId="9" xfId="1" applyFont="1" applyFill="1" applyBorder="1" applyAlignment="1">
      <alignment horizontal="center" vertical="center"/>
    </xf>
    <xf numFmtId="9" fontId="3" fillId="8" borderId="10" xfId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9" fontId="4" fillId="7" borderId="2" xfId="1" applyFont="1" applyFill="1" applyBorder="1" applyAlignment="1">
      <alignment horizontal="center" vertical="center"/>
    </xf>
    <xf numFmtId="9" fontId="4" fillId="7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9" fontId="6" fillId="6" borderId="1" xfId="1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1" fillId="0" borderId="1" xfId="0" applyFont="1" applyBorder="1"/>
    <xf numFmtId="0" fontId="12" fillId="0" borderId="0" xfId="0" applyFont="1"/>
    <xf numFmtId="9" fontId="12" fillId="0" borderId="1" xfId="1" applyFont="1" applyBorder="1"/>
    <xf numFmtId="0" fontId="6" fillId="2" borderId="1" xfId="0" applyFont="1" applyFill="1" applyBorder="1" applyAlignment="1">
      <alignment horizontal="center" vertical="center"/>
    </xf>
    <xf numFmtId="9" fontId="6" fillId="2" borderId="1" xfId="1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9" fontId="4" fillId="7" borderId="17" xfId="1" applyFont="1" applyFill="1" applyBorder="1" applyAlignment="1">
      <alignment horizontal="center" vertical="center"/>
    </xf>
    <xf numFmtId="9" fontId="3" fillId="8" borderId="24" xfId="1" applyFont="1" applyFill="1" applyBorder="1" applyAlignment="1">
      <alignment horizontal="center" vertical="center"/>
    </xf>
    <xf numFmtId="9" fontId="1" fillId="4" borderId="1" xfId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9" fontId="1" fillId="4" borderId="7" xfId="1" applyFont="1" applyFill="1" applyBorder="1" applyAlignment="1">
      <alignment horizontal="center" vertical="center"/>
    </xf>
    <xf numFmtId="14" fontId="1" fillId="9" borderId="7" xfId="0" applyNumberFormat="1" applyFont="1" applyFill="1" applyBorder="1" applyAlignment="1">
      <alignment horizontal="center" vertical="center"/>
    </xf>
    <xf numFmtId="14" fontId="1" fillId="7" borderId="16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9" fontId="1" fillId="12" borderId="1" xfId="1" applyFont="1" applyFill="1" applyBorder="1" applyAlignment="1">
      <alignment horizontal="center" vertical="center"/>
    </xf>
    <xf numFmtId="14" fontId="1" fillId="9" borderId="16" xfId="0" applyNumberFormat="1" applyFont="1" applyFill="1" applyBorder="1" applyAlignment="1">
      <alignment horizontal="center" vertical="center"/>
    </xf>
    <xf numFmtId="9" fontId="3" fillId="8" borderId="23" xfId="1" applyFont="1" applyFill="1" applyBorder="1" applyAlignment="1">
      <alignment horizontal="center" vertical="center"/>
    </xf>
    <xf numFmtId="9" fontId="6" fillId="0" borderId="1" xfId="1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0" fontId="3" fillId="8" borderId="31" xfId="0" applyFont="1" applyFill="1" applyBorder="1" applyAlignment="1">
      <alignment horizontal="center" vertical="center"/>
    </xf>
    <xf numFmtId="9" fontId="4" fillId="7" borderId="7" xfId="1" applyFont="1" applyFill="1" applyBorder="1" applyAlignment="1">
      <alignment horizontal="center" vertical="center"/>
    </xf>
    <xf numFmtId="9" fontId="4" fillId="7" borderId="16" xfId="1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8" borderId="37" xfId="0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3" fillId="8" borderId="39" xfId="0" applyFont="1" applyFill="1" applyBorder="1" applyAlignment="1">
      <alignment horizontal="center" vertical="center"/>
    </xf>
    <xf numFmtId="9" fontId="3" fillId="8" borderId="38" xfId="1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14" fontId="1" fillId="7" borderId="42" xfId="0" applyNumberFormat="1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14" fontId="1" fillId="7" borderId="43" xfId="0" applyNumberFormat="1" applyFont="1" applyFill="1" applyBorder="1" applyAlignment="1">
      <alignment horizontal="center" vertical="center"/>
    </xf>
    <xf numFmtId="0" fontId="3" fillId="8" borderId="4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14" fontId="1" fillId="14" borderId="42" xfId="0" applyNumberFormat="1" applyFont="1" applyFill="1" applyBorder="1" applyAlignment="1">
      <alignment horizontal="center" vertical="center"/>
    </xf>
    <xf numFmtId="14" fontId="1" fillId="9" borderId="42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9" fontId="6" fillId="2" borderId="7" xfId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9" fontId="6" fillId="6" borderId="7" xfId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9" fontId="6" fillId="0" borderId="7" xfId="1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9" fontId="6" fillId="6" borderId="9" xfId="1" applyFont="1" applyFill="1" applyBorder="1" applyAlignment="1">
      <alignment horizontal="center" vertical="center"/>
    </xf>
    <xf numFmtId="9" fontId="6" fillId="6" borderId="10" xfId="1" applyFont="1" applyFill="1" applyBorder="1" applyAlignment="1">
      <alignment horizontal="center" vertical="center"/>
    </xf>
    <xf numFmtId="0" fontId="6" fillId="5" borderId="46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6" borderId="46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6" borderId="47" xfId="0" applyFont="1" applyFill="1" applyBorder="1" applyAlignment="1">
      <alignment horizontal="center" vertical="center"/>
    </xf>
    <xf numFmtId="0" fontId="5" fillId="9" borderId="48" xfId="0" applyFont="1" applyFill="1" applyBorder="1" applyAlignment="1">
      <alignment horizontal="center" vertical="center"/>
    </xf>
    <xf numFmtId="9" fontId="8" fillId="0" borderId="0" xfId="2" applyNumberFormat="1" applyFont="1" applyAlignment="1">
      <alignment horizontal="center" vertical="center"/>
    </xf>
    <xf numFmtId="0" fontId="8" fillId="15" borderId="1" xfId="2" applyFont="1" applyFill="1" applyBorder="1" applyAlignment="1">
      <alignment horizontal="center" vertical="center"/>
    </xf>
    <xf numFmtId="9" fontId="8" fillId="15" borderId="1" xfId="1" applyFont="1" applyFill="1" applyBorder="1" applyAlignment="1">
      <alignment horizontal="center" vertical="center"/>
    </xf>
    <xf numFmtId="0" fontId="10" fillId="15" borderId="1" xfId="2" applyFont="1" applyFill="1" applyBorder="1" applyAlignment="1">
      <alignment horizontal="center" vertical="center"/>
    </xf>
    <xf numFmtId="9" fontId="12" fillId="15" borderId="1" xfId="1" applyFont="1" applyFill="1" applyBorder="1"/>
    <xf numFmtId="49" fontId="1" fillId="7" borderId="3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19" xfId="0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49" fontId="1" fillId="7" borderId="27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49" fontId="1" fillId="7" borderId="26" xfId="0" applyNumberFormat="1" applyFont="1" applyFill="1" applyBorder="1" applyAlignment="1">
      <alignment horizontal="center" vertical="center"/>
    </xf>
    <xf numFmtId="49" fontId="1" fillId="7" borderId="20" xfId="0" applyNumberFormat="1" applyFont="1" applyFill="1" applyBorder="1" applyAlignment="1">
      <alignment horizontal="center" vertical="center"/>
    </xf>
    <xf numFmtId="49" fontId="1" fillId="7" borderId="40" xfId="0" applyNumberFormat="1" applyFont="1" applyFill="1" applyBorder="1" applyAlignment="1">
      <alignment horizontal="center" vertical="center"/>
    </xf>
    <xf numFmtId="0" fontId="1" fillId="13" borderId="44" xfId="0" applyFont="1" applyFill="1" applyBorder="1" applyAlignment="1">
      <alignment horizontal="center"/>
    </xf>
    <xf numFmtId="0" fontId="1" fillId="13" borderId="45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49" fontId="1" fillId="4" borderId="26" xfId="0" applyNumberFormat="1" applyFont="1" applyFill="1" applyBorder="1" applyAlignment="1">
      <alignment horizontal="center" vertical="center"/>
    </xf>
    <xf numFmtId="49" fontId="1" fillId="4" borderId="20" xfId="0" applyNumberFormat="1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49" fontId="1" fillId="4" borderId="27" xfId="0" applyNumberFormat="1" applyFont="1" applyFill="1" applyBorder="1" applyAlignment="1">
      <alignment horizontal="center" vertical="center"/>
    </xf>
    <xf numFmtId="0" fontId="5" fillId="9" borderId="49" xfId="0" applyFont="1" applyFill="1" applyBorder="1" applyAlignment="1">
      <alignment horizontal="center" vertical="center"/>
    </xf>
    <xf numFmtId="0" fontId="5" fillId="9" borderId="50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8" fillId="0" borderId="30" xfId="2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</cellXfs>
  <cellStyles count="3">
    <cellStyle name="Normal" xfId="0" builtinId="0"/>
    <cellStyle name="Normal 2" xfId="2" xr:uid="{E1FB16AA-BF77-4189-B288-DFDC4D7B89D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AC91-E911-4522-BE6F-07CBB8E8C3DD}">
  <dimension ref="A1:AX1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4" sqref="J4"/>
    </sheetView>
  </sheetViews>
  <sheetFormatPr defaultRowHeight="14.4" x14ac:dyDescent="0.3"/>
  <cols>
    <col min="1" max="1" width="13.88671875" bestFit="1" customWidth="1"/>
    <col min="2" max="2" width="5.44140625" bestFit="1" customWidth="1"/>
    <col min="3" max="3" width="8.88671875" bestFit="1" customWidth="1"/>
    <col min="4" max="4" width="6.77734375" bestFit="1" customWidth="1"/>
    <col min="5" max="5" width="3.109375" bestFit="1" customWidth="1"/>
    <col min="6" max="7" width="5.44140625" bestFit="1" customWidth="1"/>
    <col min="8" max="8" width="8.88671875" bestFit="1" customWidth="1"/>
    <col min="9" max="9" width="3.44140625" bestFit="1" customWidth="1"/>
    <col min="10" max="10" width="6.77734375" bestFit="1" customWidth="1"/>
    <col min="11" max="11" width="7.5546875" bestFit="1" customWidth="1"/>
    <col min="12" max="12" width="3.109375" bestFit="1" customWidth="1"/>
    <col min="13" max="13" width="7.5546875" bestFit="1" customWidth="1"/>
    <col min="14" max="14" width="5.44140625" bestFit="1" customWidth="1"/>
    <col min="15" max="15" width="8.88671875" bestFit="1" customWidth="1"/>
    <col min="16" max="16" width="6.77734375" bestFit="1" customWidth="1"/>
    <col min="17" max="17" width="3.109375" bestFit="1" customWidth="1"/>
    <col min="18" max="19" width="5.44140625" bestFit="1" customWidth="1"/>
    <col min="20" max="20" width="8.88671875" bestFit="1" customWidth="1"/>
    <col min="21" max="21" width="5.44140625" bestFit="1" customWidth="1"/>
    <col min="22" max="22" width="6.77734375" bestFit="1" customWidth="1"/>
    <col min="23" max="23" width="4.44140625" bestFit="1" customWidth="1"/>
    <col min="24" max="24" width="3.109375" bestFit="1" customWidth="1"/>
    <col min="25" max="25" width="7.5546875" bestFit="1" customWidth="1"/>
    <col min="26" max="26" width="5.44140625" bestFit="1" customWidth="1"/>
    <col min="27" max="27" width="8.88671875" bestFit="1" customWidth="1"/>
    <col min="28" max="28" width="6.77734375" bestFit="1" customWidth="1"/>
    <col min="29" max="29" width="3.109375" bestFit="1" customWidth="1"/>
    <col min="30" max="30" width="5.44140625" bestFit="1" customWidth="1"/>
    <col min="31" max="31" width="7.5546875" bestFit="1" customWidth="1"/>
    <col min="32" max="32" width="8.88671875" bestFit="1" customWidth="1"/>
    <col min="33" max="33" width="5.44140625" bestFit="1" customWidth="1"/>
    <col min="34" max="34" width="6.77734375" bestFit="1" customWidth="1"/>
    <col min="35" max="35" width="4.44140625" bestFit="1" customWidth="1"/>
    <col min="36" max="36" width="3.109375" bestFit="1" customWidth="1"/>
    <col min="37" max="37" width="4.44140625" bestFit="1" customWidth="1"/>
    <col min="38" max="38" width="5.44140625" bestFit="1" customWidth="1"/>
    <col min="39" max="39" width="8.88671875" bestFit="1" customWidth="1"/>
    <col min="40" max="40" width="6.77734375" bestFit="1" customWidth="1"/>
    <col min="41" max="41" width="3.109375" bestFit="1" customWidth="1"/>
    <col min="42" max="42" width="5.44140625" bestFit="1" customWidth="1"/>
    <col min="43" max="43" width="6.44140625" bestFit="1" customWidth="1"/>
    <col min="44" max="44" width="8.88671875" bestFit="1" customWidth="1"/>
    <col min="45" max="45" width="7.109375" bestFit="1" customWidth="1"/>
    <col min="46" max="46" width="6.77734375" bestFit="1" customWidth="1"/>
    <col min="47" max="47" width="7.109375" bestFit="1" customWidth="1"/>
    <col min="48" max="48" width="3.109375" bestFit="1" customWidth="1"/>
    <col min="49" max="49" width="4.44140625" bestFit="1" customWidth="1"/>
    <col min="50" max="50" width="16.109375" bestFit="1" customWidth="1"/>
  </cols>
  <sheetData>
    <row r="1" spans="1:50" x14ac:dyDescent="0.3">
      <c r="A1" s="132" t="s">
        <v>69</v>
      </c>
      <c r="B1" s="125" t="s">
        <v>11</v>
      </c>
      <c r="C1" s="126"/>
      <c r="D1" s="126"/>
      <c r="E1" s="127"/>
      <c r="F1" s="134" t="s">
        <v>88</v>
      </c>
      <c r="G1" s="135"/>
      <c r="H1" s="135"/>
      <c r="I1" s="135"/>
      <c r="J1" s="135"/>
      <c r="K1" s="135"/>
      <c r="L1" s="135"/>
      <c r="M1" s="136"/>
      <c r="N1" s="125" t="s">
        <v>66</v>
      </c>
      <c r="O1" s="126"/>
      <c r="P1" s="126"/>
      <c r="Q1" s="127"/>
      <c r="R1" s="137" t="s">
        <v>80</v>
      </c>
      <c r="S1" s="138"/>
      <c r="T1" s="138"/>
      <c r="U1" s="138"/>
      <c r="V1" s="138"/>
      <c r="W1" s="138"/>
      <c r="X1" s="138"/>
      <c r="Y1" s="139"/>
      <c r="Z1" s="125" t="s">
        <v>87</v>
      </c>
      <c r="AA1" s="126"/>
      <c r="AB1" s="126"/>
      <c r="AC1" s="127"/>
      <c r="AD1" s="122" t="s">
        <v>79</v>
      </c>
      <c r="AE1" s="123"/>
      <c r="AF1" s="123"/>
      <c r="AG1" s="123"/>
      <c r="AH1" s="123"/>
      <c r="AI1" s="123"/>
      <c r="AJ1" s="123"/>
      <c r="AK1" s="124"/>
      <c r="AL1" s="125" t="s">
        <v>83</v>
      </c>
      <c r="AM1" s="126"/>
      <c r="AN1" s="126"/>
      <c r="AO1" s="127"/>
      <c r="AP1" s="128" t="s">
        <v>84</v>
      </c>
      <c r="AQ1" s="123"/>
      <c r="AR1" s="123"/>
      <c r="AS1" s="123"/>
      <c r="AT1" s="123"/>
      <c r="AU1" s="123"/>
      <c r="AV1" s="123"/>
      <c r="AW1" s="129"/>
      <c r="AX1" s="130" t="s">
        <v>68</v>
      </c>
    </row>
    <row r="2" spans="1:50" ht="15" thickBot="1" x14ac:dyDescent="0.35">
      <c r="A2" s="133"/>
      <c r="B2" s="5" t="s">
        <v>6</v>
      </c>
      <c r="C2" s="6" t="s">
        <v>9</v>
      </c>
      <c r="D2" s="6" t="s">
        <v>10</v>
      </c>
      <c r="E2" s="7" t="s">
        <v>63</v>
      </c>
      <c r="F2" s="14" t="s">
        <v>6</v>
      </c>
      <c r="G2" s="15" t="s">
        <v>22</v>
      </c>
      <c r="H2" s="15" t="s">
        <v>9</v>
      </c>
      <c r="I2" s="15" t="s">
        <v>22</v>
      </c>
      <c r="J2" s="15" t="s">
        <v>10</v>
      </c>
      <c r="K2" s="15" t="s">
        <v>22</v>
      </c>
      <c r="L2" s="15" t="s">
        <v>63</v>
      </c>
      <c r="M2" s="16" t="s">
        <v>22</v>
      </c>
      <c r="N2" s="5" t="s">
        <v>6</v>
      </c>
      <c r="O2" s="6" t="s">
        <v>9</v>
      </c>
      <c r="P2" s="6" t="s">
        <v>10</v>
      </c>
      <c r="Q2" s="7" t="s">
        <v>63</v>
      </c>
      <c r="R2" s="14" t="s">
        <v>6</v>
      </c>
      <c r="S2" s="15" t="s">
        <v>22</v>
      </c>
      <c r="T2" s="15" t="s">
        <v>9</v>
      </c>
      <c r="U2" s="15" t="s">
        <v>22</v>
      </c>
      <c r="V2" s="15" t="s">
        <v>10</v>
      </c>
      <c r="W2" s="15" t="s">
        <v>22</v>
      </c>
      <c r="X2" s="15" t="s">
        <v>63</v>
      </c>
      <c r="Y2" s="16" t="s">
        <v>22</v>
      </c>
      <c r="Z2" s="5" t="s">
        <v>6</v>
      </c>
      <c r="AA2" s="6" t="s">
        <v>9</v>
      </c>
      <c r="AB2" s="6" t="s">
        <v>10</v>
      </c>
      <c r="AC2" s="7" t="s">
        <v>63</v>
      </c>
      <c r="AD2" s="14" t="s">
        <v>6</v>
      </c>
      <c r="AE2" s="15" t="s">
        <v>22</v>
      </c>
      <c r="AF2" s="15" t="s">
        <v>9</v>
      </c>
      <c r="AG2" s="15" t="s">
        <v>22</v>
      </c>
      <c r="AH2" s="15" t="s">
        <v>10</v>
      </c>
      <c r="AI2" s="15" t="s">
        <v>22</v>
      </c>
      <c r="AJ2" s="15" t="s">
        <v>63</v>
      </c>
      <c r="AK2" s="16" t="s">
        <v>22</v>
      </c>
      <c r="AL2" s="5" t="s">
        <v>6</v>
      </c>
      <c r="AM2" s="6" t="s">
        <v>9</v>
      </c>
      <c r="AN2" s="6" t="s">
        <v>10</v>
      </c>
      <c r="AO2" s="7" t="s">
        <v>63</v>
      </c>
      <c r="AP2" s="66" t="s">
        <v>6</v>
      </c>
      <c r="AQ2" s="15" t="s">
        <v>22</v>
      </c>
      <c r="AR2" s="15" t="s">
        <v>9</v>
      </c>
      <c r="AS2" s="15" t="s">
        <v>22</v>
      </c>
      <c r="AT2" s="15" t="s">
        <v>10</v>
      </c>
      <c r="AU2" s="15" t="s">
        <v>22</v>
      </c>
      <c r="AV2" s="15" t="s">
        <v>63</v>
      </c>
      <c r="AW2" s="16" t="s">
        <v>22</v>
      </c>
      <c r="AX2" s="131"/>
    </row>
    <row r="3" spans="1:50" x14ac:dyDescent="0.3">
      <c r="A3" s="29" t="s">
        <v>98</v>
      </c>
      <c r="B3" s="8"/>
      <c r="C3" s="9"/>
      <c r="D3" s="9"/>
      <c r="E3" s="10"/>
      <c r="F3" s="3">
        <v>6</v>
      </c>
      <c r="G3" s="31" t="e">
        <f>F3/B3</f>
        <v>#DIV/0!</v>
      </c>
      <c r="H3" s="4"/>
      <c r="I3" s="31" t="e">
        <f>H3/C3</f>
        <v>#DIV/0!</v>
      </c>
      <c r="J3" s="4"/>
      <c r="K3" s="31" t="e">
        <f>J3/D3</f>
        <v>#DIV/0!</v>
      </c>
      <c r="L3" s="4"/>
      <c r="M3" s="70" t="e">
        <f>L3/E3</f>
        <v>#DIV/0!</v>
      </c>
      <c r="N3" s="8">
        <v>4</v>
      </c>
      <c r="O3" s="9">
        <v>2</v>
      </c>
      <c r="P3" s="9">
        <v>3</v>
      </c>
      <c r="Q3" s="10">
        <v>2</v>
      </c>
      <c r="R3" s="3">
        <v>14</v>
      </c>
      <c r="S3" s="31">
        <f>R3/N3</f>
        <v>3.5</v>
      </c>
      <c r="T3" s="4">
        <v>1</v>
      </c>
      <c r="U3" s="31">
        <f>T3/O3</f>
        <v>0.5</v>
      </c>
      <c r="V3" s="4">
        <v>1</v>
      </c>
      <c r="W3" s="31">
        <f>V3/P3</f>
        <v>0.33333333333333331</v>
      </c>
      <c r="X3" s="4">
        <v>2</v>
      </c>
      <c r="Y3" s="70">
        <f>X3/Q3</f>
        <v>1</v>
      </c>
      <c r="Z3" s="8">
        <v>6</v>
      </c>
      <c r="AA3" s="9">
        <v>3</v>
      </c>
      <c r="AB3" s="9">
        <v>10</v>
      </c>
      <c r="AC3" s="10">
        <v>8</v>
      </c>
      <c r="AD3" s="3">
        <v>28</v>
      </c>
      <c r="AE3" s="31">
        <f>AD3/Z3</f>
        <v>4.666666666666667</v>
      </c>
      <c r="AF3" s="4">
        <v>1</v>
      </c>
      <c r="AG3" s="31">
        <f>AF3/AA3</f>
        <v>0.33333333333333331</v>
      </c>
      <c r="AH3" s="4">
        <v>8</v>
      </c>
      <c r="AI3" s="31">
        <f>AH3/AB3</f>
        <v>0.8</v>
      </c>
      <c r="AJ3" s="4">
        <v>6</v>
      </c>
      <c r="AK3" s="70">
        <f>AJ3/AC3</f>
        <v>0.75</v>
      </c>
      <c r="AL3" s="8"/>
      <c r="AM3" s="9"/>
      <c r="AN3" s="9">
        <v>10</v>
      </c>
      <c r="AO3" s="10"/>
      <c r="AP3" s="64">
        <f>F3+R3+AD3</f>
        <v>48</v>
      </c>
      <c r="AQ3" s="31" t="e">
        <f>AP3/AL3</f>
        <v>#DIV/0!</v>
      </c>
      <c r="AR3" s="4">
        <f>H3+T3+AF3</f>
        <v>2</v>
      </c>
      <c r="AS3" s="31" t="e">
        <f>AR3/AM3</f>
        <v>#DIV/0!</v>
      </c>
      <c r="AT3" s="4">
        <f>J3+V3+AH3</f>
        <v>9</v>
      </c>
      <c r="AU3" s="31">
        <f>AT3/AN3</f>
        <v>0.9</v>
      </c>
      <c r="AV3" s="4">
        <f>L3+X3+AJ3</f>
        <v>8</v>
      </c>
      <c r="AW3" s="70" t="e">
        <f>AV3/AO3</f>
        <v>#DIV/0!</v>
      </c>
      <c r="AX3" s="86">
        <v>45134</v>
      </c>
    </row>
    <row r="4" spans="1:50" x14ac:dyDescent="0.3">
      <c r="A4" s="29" t="s">
        <v>0</v>
      </c>
      <c r="B4" s="8"/>
      <c r="C4" s="9"/>
      <c r="D4" s="9"/>
      <c r="E4" s="10"/>
      <c r="F4" s="3">
        <v>10</v>
      </c>
      <c r="G4" s="31" t="e">
        <f>F4/B4</f>
        <v>#DIV/0!</v>
      </c>
      <c r="H4" s="4">
        <v>1</v>
      </c>
      <c r="I4" s="31" t="e">
        <f>H4/C4</f>
        <v>#DIV/0!</v>
      </c>
      <c r="J4" s="4">
        <v>4</v>
      </c>
      <c r="K4" s="31" t="e">
        <f>J4/D4</f>
        <v>#DIV/0!</v>
      </c>
      <c r="L4" s="4"/>
      <c r="M4" s="70" t="e">
        <f>L4/E4</f>
        <v>#DIV/0!</v>
      </c>
      <c r="N4" s="8">
        <v>4</v>
      </c>
      <c r="O4" s="9">
        <v>2</v>
      </c>
      <c r="P4" s="9">
        <v>3</v>
      </c>
      <c r="Q4" s="10">
        <v>2</v>
      </c>
      <c r="R4" s="3">
        <v>14</v>
      </c>
      <c r="S4" s="31">
        <f>R4/N4</f>
        <v>3.5</v>
      </c>
      <c r="T4" s="4">
        <v>1</v>
      </c>
      <c r="U4" s="31">
        <f>T4/O4</f>
        <v>0.5</v>
      </c>
      <c r="V4" s="4">
        <v>1</v>
      </c>
      <c r="W4" s="31">
        <f>V4/P4</f>
        <v>0.33333333333333331</v>
      </c>
      <c r="X4" s="4">
        <v>2</v>
      </c>
      <c r="Y4" s="70">
        <f>X4/Q4</f>
        <v>1</v>
      </c>
      <c r="Z4" s="8">
        <v>6</v>
      </c>
      <c r="AA4" s="9">
        <v>3</v>
      </c>
      <c r="AB4" s="9">
        <v>10</v>
      </c>
      <c r="AC4" s="10">
        <v>8</v>
      </c>
      <c r="AD4" s="3">
        <v>28</v>
      </c>
      <c r="AE4" s="31">
        <f>AD4/Z4</f>
        <v>4.666666666666667</v>
      </c>
      <c r="AF4" s="4">
        <v>1</v>
      </c>
      <c r="AG4" s="31">
        <f>AF4/AA4</f>
        <v>0.33333333333333331</v>
      </c>
      <c r="AH4" s="4">
        <v>8</v>
      </c>
      <c r="AI4" s="31">
        <f>AH4/AB4</f>
        <v>0.8</v>
      </c>
      <c r="AJ4" s="4">
        <v>6</v>
      </c>
      <c r="AK4" s="70">
        <f>AJ4/AC4</f>
        <v>0.75</v>
      </c>
      <c r="AL4" s="8"/>
      <c r="AM4" s="9"/>
      <c r="AN4" s="9">
        <v>13</v>
      </c>
      <c r="AO4" s="10"/>
      <c r="AP4" s="64">
        <f>F4+R4+AD4</f>
        <v>52</v>
      </c>
      <c r="AQ4" s="31" t="e">
        <f>AP4/AL4</f>
        <v>#DIV/0!</v>
      </c>
      <c r="AR4" s="4">
        <f>H4+T4+AF4</f>
        <v>3</v>
      </c>
      <c r="AS4" s="31" t="e">
        <f>AR4/AM4</f>
        <v>#DIV/0!</v>
      </c>
      <c r="AT4" s="4">
        <f>J4+V4+AH4</f>
        <v>13</v>
      </c>
      <c r="AU4" s="31">
        <f>AT4/AN4</f>
        <v>1</v>
      </c>
      <c r="AV4" s="4">
        <f>L4+X4+AJ4</f>
        <v>8</v>
      </c>
      <c r="AW4" s="70" t="e">
        <f>AV4/AO4</f>
        <v>#DIV/0!</v>
      </c>
      <c r="AX4" s="86">
        <v>45134</v>
      </c>
    </row>
    <row r="5" spans="1:50" x14ac:dyDescent="0.3">
      <c r="A5" s="30" t="s">
        <v>1</v>
      </c>
      <c r="B5" s="11"/>
      <c r="C5" s="12"/>
      <c r="D5" s="12"/>
      <c r="E5" s="13"/>
      <c r="F5" s="2">
        <v>3</v>
      </c>
      <c r="G5" s="31" t="e">
        <f t="shared" ref="G5:G12" si="0">F5/B5</f>
        <v>#DIV/0!</v>
      </c>
      <c r="H5" s="1">
        <v>1</v>
      </c>
      <c r="I5" s="31" t="e">
        <f t="shared" ref="I5:I14" si="1">H5/C5</f>
        <v>#DIV/0!</v>
      </c>
      <c r="J5" s="1">
        <v>4</v>
      </c>
      <c r="K5" s="31" t="e">
        <f t="shared" ref="K5:K8" si="2">J5/D5</f>
        <v>#DIV/0!</v>
      </c>
      <c r="L5" s="4"/>
      <c r="M5" s="70" t="e">
        <f t="shared" ref="M5:M14" si="3">L5/E5</f>
        <v>#DIV/0!</v>
      </c>
      <c r="N5" s="11">
        <v>4</v>
      </c>
      <c r="O5" s="12">
        <v>3</v>
      </c>
      <c r="P5" s="12">
        <v>3</v>
      </c>
      <c r="Q5" s="13">
        <v>3</v>
      </c>
      <c r="R5" s="2">
        <v>11</v>
      </c>
      <c r="S5" s="31">
        <f t="shared" ref="S5:S8" si="4">R5/N5</f>
        <v>2.75</v>
      </c>
      <c r="T5" s="1"/>
      <c r="U5" s="31">
        <f t="shared" ref="U5:U8" si="5">T5/O5</f>
        <v>0</v>
      </c>
      <c r="V5" s="1">
        <v>1</v>
      </c>
      <c r="W5" s="31">
        <f t="shared" ref="W5:W8" si="6">V5/P5</f>
        <v>0.33333333333333331</v>
      </c>
      <c r="X5" s="4"/>
      <c r="Y5" s="70">
        <f t="shared" ref="Y5:Y8" si="7">X5/Q5</f>
        <v>0</v>
      </c>
      <c r="Z5" s="11">
        <v>5</v>
      </c>
      <c r="AA5" s="12">
        <v>3</v>
      </c>
      <c r="AB5" s="12">
        <v>9</v>
      </c>
      <c r="AC5" s="13">
        <v>8</v>
      </c>
      <c r="AD5" s="2">
        <v>15</v>
      </c>
      <c r="AE5" s="31">
        <f t="shared" ref="AE5:AE12" si="8">AD5/Z5</f>
        <v>3</v>
      </c>
      <c r="AF5" s="1"/>
      <c r="AG5" s="31">
        <f t="shared" ref="AG5:AG8" si="9">AF5/AA5</f>
        <v>0</v>
      </c>
      <c r="AH5" s="1">
        <v>7</v>
      </c>
      <c r="AI5" s="31">
        <f t="shared" ref="AI5:AI8" si="10">AH5/AB5</f>
        <v>0.77777777777777779</v>
      </c>
      <c r="AJ5" s="4">
        <v>7</v>
      </c>
      <c r="AK5" s="70">
        <f t="shared" ref="AK5:AK8" si="11">AJ5/AC5</f>
        <v>0.875</v>
      </c>
      <c r="AL5" s="11"/>
      <c r="AM5" s="12"/>
      <c r="AN5" s="12">
        <v>13</v>
      </c>
      <c r="AO5" s="13"/>
      <c r="AP5" s="65">
        <f t="shared" ref="AP5:AV12" si="12">F5+R5+AD5</f>
        <v>29</v>
      </c>
      <c r="AQ5" s="32" t="e">
        <f t="shared" ref="AQ5:AQ8" si="13">AP5/AL5</f>
        <v>#DIV/0!</v>
      </c>
      <c r="AR5" s="1">
        <f t="shared" si="12"/>
        <v>1</v>
      </c>
      <c r="AS5" s="32" t="e">
        <f t="shared" ref="AS5:AS8" si="14">AR5/AM5</f>
        <v>#DIV/0!</v>
      </c>
      <c r="AT5" s="1">
        <f t="shared" si="12"/>
        <v>12</v>
      </c>
      <c r="AU5" s="32">
        <f t="shared" ref="AU5:AU8" si="15">AT5/AN5</f>
        <v>0.92307692307692313</v>
      </c>
      <c r="AV5" s="1">
        <f t="shared" si="12"/>
        <v>7</v>
      </c>
      <c r="AW5" s="69" t="e">
        <f t="shared" ref="AW5:AW8" si="16">AV5/AO5</f>
        <v>#DIV/0!</v>
      </c>
      <c r="AX5" s="86">
        <v>45133</v>
      </c>
    </row>
    <row r="6" spans="1:50" x14ac:dyDescent="0.3">
      <c r="A6" s="30" t="s">
        <v>7</v>
      </c>
      <c r="B6" s="11"/>
      <c r="C6" s="12"/>
      <c r="D6" s="12"/>
      <c r="E6" s="13"/>
      <c r="F6" s="2">
        <v>0</v>
      </c>
      <c r="G6" s="31" t="e">
        <f t="shared" si="0"/>
        <v>#DIV/0!</v>
      </c>
      <c r="H6" s="1">
        <v>0</v>
      </c>
      <c r="I6" s="31" t="e">
        <f t="shared" si="1"/>
        <v>#DIV/0!</v>
      </c>
      <c r="J6" s="1">
        <v>2</v>
      </c>
      <c r="K6" s="31" t="e">
        <f t="shared" si="2"/>
        <v>#DIV/0!</v>
      </c>
      <c r="L6" s="1"/>
      <c r="M6" s="70" t="e">
        <f t="shared" si="3"/>
        <v>#DIV/0!</v>
      </c>
      <c r="N6" s="11">
        <v>3</v>
      </c>
      <c r="O6" s="12">
        <v>2</v>
      </c>
      <c r="P6" s="12">
        <v>2</v>
      </c>
      <c r="Q6" s="13">
        <v>2</v>
      </c>
      <c r="R6" s="2">
        <v>2</v>
      </c>
      <c r="S6" s="31">
        <f t="shared" si="4"/>
        <v>0.66666666666666663</v>
      </c>
      <c r="T6" s="1">
        <v>2</v>
      </c>
      <c r="U6" s="31">
        <f t="shared" si="5"/>
        <v>1</v>
      </c>
      <c r="V6" s="1"/>
      <c r="W6" s="31">
        <f t="shared" si="6"/>
        <v>0</v>
      </c>
      <c r="X6" s="1">
        <v>1</v>
      </c>
      <c r="Y6" s="70">
        <f t="shared" si="7"/>
        <v>0.5</v>
      </c>
      <c r="Z6" s="11">
        <v>2</v>
      </c>
      <c r="AA6" s="12">
        <v>2</v>
      </c>
      <c r="AB6" s="12">
        <v>4</v>
      </c>
      <c r="AC6" s="13">
        <v>3</v>
      </c>
      <c r="AD6" s="2">
        <v>2</v>
      </c>
      <c r="AE6" s="31">
        <f t="shared" si="8"/>
        <v>1</v>
      </c>
      <c r="AF6" s="1"/>
      <c r="AG6" s="31">
        <f t="shared" si="9"/>
        <v>0</v>
      </c>
      <c r="AH6" s="1">
        <v>1</v>
      </c>
      <c r="AI6" s="31">
        <f t="shared" si="10"/>
        <v>0.25</v>
      </c>
      <c r="AJ6" s="1">
        <v>1</v>
      </c>
      <c r="AK6" s="70">
        <f t="shared" si="11"/>
        <v>0.33333333333333331</v>
      </c>
      <c r="AL6" s="11"/>
      <c r="AM6" s="12"/>
      <c r="AN6" s="12">
        <v>7</v>
      </c>
      <c r="AO6" s="13"/>
      <c r="AP6" s="65">
        <f t="shared" si="12"/>
        <v>4</v>
      </c>
      <c r="AQ6" s="32" t="e">
        <f t="shared" si="13"/>
        <v>#DIV/0!</v>
      </c>
      <c r="AR6" s="1">
        <f t="shared" si="12"/>
        <v>2</v>
      </c>
      <c r="AS6" s="32" t="e">
        <f t="shared" si="14"/>
        <v>#DIV/0!</v>
      </c>
      <c r="AT6" s="1">
        <f t="shared" si="12"/>
        <v>3</v>
      </c>
      <c r="AU6" s="32">
        <f t="shared" si="15"/>
        <v>0.42857142857142855</v>
      </c>
      <c r="AV6" s="1">
        <f t="shared" si="12"/>
        <v>2</v>
      </c>
      <c r="AW6" s="69" t="e">
        <f t="shared" si="16"/>
        <v>#DIV/0!</v>
      </c>
      <c r="AX6" s="98">
        <v>45125</v>
      </c>
    </row>
    <row r="7" spans="1:50" x14ac:dyDescent="0.3">
      <c r="A7" s="71" t="s">
        <v>94</v>
      </c>
      <c r="B7" s="11"/>
      <c r="C7" s="12"/>
      <c r="D7" s="12"/>
      <c r="E7" s="13"/>
      <c r="F7" s="2">
        <v>4</v>
      </c>
      <c r="G7" s="31" t="e">
        <f t="shared" si="0"/>
        <v>#DIV/0!</v>
      </c>
      <c r="H7" s="1">
        <v>2</v>
      </c>
      <c r="I7" s="31" t="e">
        <f t="shared" si="1"/>
        <v>#DIV/0!</v>
      </c>
      <c r="J7" s="1">
        <v>1</v>
      </c>
      <c r="K7" s="31" t="e">
        <f t="shared" si="2"/>
        <v>#DIV/0!</v>
      </c>
      <c r="L7" s="1"/>
      <c r="M7" s="70" t="e">
        <f t="shared" si="3"/>
        <v>#DIV/0!</v>
      </c>
      <c r="N7" s="11">
        <v>2</v>
      </c>
      <c r="O7" s="12">
        <v>2</v>
      </c>
      <c r="P7" s="12">
        <v>1</v>
      </c>
      <c r="Q7" s="13">
        <v>1</v>
      </c>
      <c r="R7" s="2">
        <v>7</v>
      </c>
      <c r="S7" s="31">
        <f t="shared" si="4"/>
        <v>3.5</v>
      </c>
      <c r="T7" s="1">
        <v>1</v>
      </c>
      <c r="U7" s="31">
        <f t="shared" si="5"/>
        <v>0.5</v>
      </c>
      <c r="V7" s="1"/>
      <c r="W7" s="31">
        <f t="shared" si="6"/>
        <v>0</v>
      </c>
      <c r="X7" s="1"/>
      <c r="Y7" s="70">
        <f t="shared" si="7"/>
        <v>0</v>
      </c>
      <c r="Z7" s="11">
        <v>3</v>
      </c>
      <c r="AA7" s="12">
        <v>2</v>
      </c>
      <c r="AB7" s="12">
        <v>7</v>
      </c>
      <c r="AC7" s="13">
        <v>5</v>
      </c>
      <c r="AD7" s="2">
        <v>9</v>
      </c>
      <c r="AE7" s="31">
        <f t="shared" si="8"/>
        <v>3</v>
      </c>
      <c r="AF7" s="1">
        <v>3</v>
      </c>
      <c r="AG7" s="31">
        <f t="shared" si="9"/>
        <v>1.5</v>
      </c>
      <c r="AH7" s="1">
        <v>5</v>
      </c>
      <c r="AI7" s="31">
        <f t="shared" si="10"/>
        <v>0.7142857142857143</v>
      </c>
      <c r="AJ7" s="1">
        <v>3</v>
      </c>
      <c r="AK7" s="70">
        <f t="shared" si="11"/>
        <v>0.6</v>
      </c>
      <c r="AL7" s="11"/>
      <c r="AM7" s="12"/>
      <c r="AN7" s="12">
        <v>10</v>
      </c>
      <c r="AO7" s="13"/>
      <c r="AP7" s="65">
        <f t="shared" si="12"/>
        <v>20</v>
      </c>
      <c r="AQ7" s="32" t="e">
        <f t="shared" si="13"/>
        <v>#DIV/0!</v>
      </c>
      <c r="AR7" s="1">
        <f t="shared" si="12"/>
        <v>6</v>
      </c>
      <c r="AS7" s="32" t="e">
        <f t="shared" si="14"/>
        <v>#DIV/0!</v>
      </c>
      <c r="AT7" s="1">
        <f t="shared" si="12"/>
        <v>6</v>
      </c>
      <c r="AU7" s="32">
        <f t="shared" si="15"/>
        <v>0.6</v>
      </c>
      <c r="AV7" s="1">
        <f t="shared" si="12"/>
        <v>3</v>
      </c>
      <c r="AW7" s="69" t="e">
        <f t="shared" si="16"/>
        <v>#DIV/0!</v>
      </c>
      <c r="AX7" s="86">
        <v>45133</v>
      </c>
    </row>
    <row r="8" spans="1:50" ht="15" thickBot="1" x14ac:dyDescent="0.35">
      <c r="A8" s="71" t="s">
        <v>85</v>
      </c>
      <c r="B8" s="72"/>
      <c r="C8" s="73"/>
      <c r="D8" s="73"/>
      <c r="E8" s="74"/>
      <c r="F8" s="75">
        <v>0</v>
      </c>
      <c r="G8" s="31" t="e">
        <f t="shared" si="0"/>
        <v>#DIV/0!</v>
      </c>
      <c r="H8" s="76">
        <v>0</v>
      </c>
      <c r="I8" s="31" t="e">
        <f t="shared" si="1"/>
        <v>#DIV/0!</v>
      </c>
      <c r="J8" s="76">
        <v>0</v>
      </c>
      <c r="K8" s="31" t="e">
        <f t="shared" si="2"/>
        <v>#DIV/0!</v>
      </c>
      <c r="L8" s="76"/>
      <c r="M8" s="70" t="e">
        <f t="shared" si="3"/>
        <v>#DIV/0!</v>
      </c>
      <c r="N8" s="72">
        <v>1</v>
      </c>
      <c r="O8" s="73">
        <v>1</v>
      </c>
      <c r="P8" s="73">
        <v>1</v>
      </c>
      <c r="Q8" s="74">
        <v>0</v>
      </c>
      <c r="R8" s="75">
        <v>3</v>
      </c>
      <c r="S8" s="31">
        <f t="shared" si="4"/>
        <v>3</v>
      </c>
      <c r="T8" s="76"/>
      <c r="U8" s="31">
        <f t="shared" si="5"/>
        <v>0</v>
      </c>
      <c r="V8" s="76"/>
      <c r="W8" s="31">
        <f t="shared" si="6"/>
        <v>0</v>
      </c>
      <c r="X8" s="76"/>
      <c r="Y8" s="70" t="e">
        <f t="shared" si="7"/>
        <v>#DIV/0!</v>
      </c>
      <c r="Z8" s="72">
        <v>2</v>
      </c>
      <c r="AA8" s="73">
        <v>2</v>
      </c>
      <c r="AB8" s="73">
        <v>2</v>
      </c>
      <c r="AC8" s="74">
        <v>2</v>
      </c>
      <c r="AD8" s="75">
        <v>2</v>
      </c>
      <c r="AE8" s="31">
        <f t="shared" si="8"/>
        <v>1</v>
      </c>
      <c r="AF8" s="76"/>
      <c r="AG8" s="31">
        <f t="shared" si="9"/>
        <v>0</v>
      </c>
      <c r="AH8" s="76">
        <v>1</v>
      </c>
      <c r="AI8" s="31">
        <f t="shared" si="10"/>
        <v>0.5</v>
      </c>
      <c r="AJ8" s="76"/>
      <c r="AK8" s="70">
        <f t="shared" si="11"/>
        <v>0</v>
      </c>
      <c r="AL8" s="11"/>
      <c r="AM8" s="12"/>
      <c r="AN8" s="12">
        <v>3</v>
      </c>
      <c r="AO8" s="13"/>
      <c r="AP8" s="65">
        <f t="shared" si="12"/>
        <v>5</v>
      </c>
      <c r="AQ8" s="32" t="e">
        <f t="shared" si="13"/>
        <v>#DIV/0!</v>
      </c>
      <c r="AR8" s="1">
        <f t="shared" si="12"/>
        <v>0</v>
      </c>
      <c r="AS8" s="32" t="e">
        <f t="shared" si="14"/>
        <v>#DIV/0!</v>
      </c>
      <c r="AT8" s="1">
        <f t="shared" si="12"/>
        <v>1</v>
      </c>
      <c r="AU8" s="32">
        <f t="shared" si="15"/>
        <v>0.33333333333333331</v>
      </c>
      <c r="AV8" s="1">
        <f t="shared" si="12"/>
        <v>0</v>
      </c>
      <c r="AW8" s="69" t="e">
        <f t="shared" si="16"/>
        <v>#DIV/0!</v>
      </c>
      <c r="AX8" s="98">
        <v>45126</v>
      </c>
    </row>
    <row r="9" spans="1:50" ht="15" thickBot="1" x14ac:dyDescent="0.35">
      <c r="A9" s="77" t="s">
        <v>12</v>
      </c>
      <c r="B9" s="78">
        <f>SUM(B3:B8)</f>
        <v>0</v>
      </c>
      <c r="C9" s="79">
        <f>SUM(C3:C8)</f>
        <v>0</v>
      </c>
      <c r="D9" s="79">
        <f>SUM(D3:D8)</f>
        <v>0</v>
      </c>
      <c r="E9" s="80">
        <f>SUM(E3:E8)</f>
        <v>0</v>
      </c>
      <c r="F9" s="78">
        <f>SUM(F3:F8)</f>
        <v>23</v>
      </c>
      <c r="G9" s="81" t="e">
        <f>F9/B9</f>
        <v>#DIV/0!</v>
      </c>
      <c r="H9" s="79">
        <f>SUM(H3:H8)</f>
        <v>4</v>
      </c>
      <c r="I9" s="81" t="e">
        <f>H9/C9</f>
        <v>#DIV/0!</v>
      </c>
      <c r="J9" s="79">
        <f>SUM(J3:J8)</f>
        <v>11</v>
      </c>
      <c r="K9" s="81" t="e">
        <f>J9/D9</f>
        <v>#DIV/0!</v>
      </c>
      <c r="L9" s="79">
        <f>SUM(L3:L8)</f>
        <v>0</v>
      </c>
      <c r="M9" s="81" t="e">
        <f>L9/E9</f>
        <v>#DIV/0!</v>
      </c>
      <c r="N9" s="78">
        <f>SUM(N3:N8)</f>
        <v>18</v>
      </c>
      <c r="O9" s="79">
        <f>SUM(O3:O8)</f>
        <v>12</v>
      </c>
      <c r="P9" s="79">
        <f>SUM(P3:P8)</f>
        <v>13</v>
      </c>
      <c r="Q9" s="80">
        <f>SUM(Q3:Q8)</f>
        <v>10</v>
      </c>
      <c r="R9" s="78">
        <f>SUM(R3:R8)</f>
        <v>51</v>
      </c>
      <c r="S9" s="81">
        <f>R9/N9</f>
        <v>2.8333333333333335</v>
      </c>
      <c r="T9" s="79">
        <f>SUM(T3:T8)</f>
        <v>5</v>
      </c>
      <c r="U9" s="81">
        <f>T9/O9</f>
        <v>0.41666666666666669</v>
      </c>
      <c r="V9" s="79">
        <f>SUM(V3:V8)</f>
        <v>3</v>
      </c>
      <c r="W9" s="81">
        <f>V9/P9</f>
        <v>0.23076923076923078</v>
      </c>
      <c r="X9" s="79">
        <f>SUM(X3:X8)</f>
        <v>5</v>
      </c>
      <c r="Y9" s="81">
        <f>X9/Q9</f>
        <v>0.5</v>
      </c>
      <c r="Z9" s="78">
        <f>SUM(Z3:Z8)</f>
        <v>24</v>
      </c>
      <c r="AA9" s="79">
        <f>SUM(AA3:AA8)</f>
        <v>15</v>
      </c>
      <c r="AB9" s="79">
        <f>SUM(AB3:AB8)</f>
        <v>42</v>
      </c>
      <c r="AC9" s="80">
        <f>SUM(AC3:AC8)</f>
        <v>34</v>
      </c>
      <c r="AD9" s="78">
        <f>SUM(AD3:AD8)</f>
        <v>84</v>
      </c>
      <c r="AE9" s="81">
        <f>AD9/Z9</f>
        <v>3.5</v>
      </c>
      <c r="AF9" s="79">
        <f>SUM(AF3:AF8)</f>
        <v>5</v>
      </c>
      <c r="AG9" s="81">
        <f>AF9/AA9</f>
        <v>0.33333333333333331</v>
      </c>
      <c r="AH9" s="79">
        <f>SUM(AH3:AH8)</f>
        <v>30</v>
      </c>
      <c r="AI9" s="81">
        <f>AH9/AB9</f>
        <v>0.7142857142857143</v>
      </c>
      <c r="AJ9" s="79">
        <f>SUM(AJ3:AJ8)</f>
        <v>23</v>
      </c>
      <c r="AK9" s="81">
        <f>AJ9/AC9</f>
        <v>0.67647058823529416</v>
      </c>
      <c r="AL9" s="18">
        <f>SUM(AL3:AL8)</f>
        <v>0</v>
      </c>
      <c r="AM9" s="19">
        <f>SUM(AM3:AM8)</f>
        <v>0</v>
      </c>
      <c r="AN9" s="19">
        <f>SUM(AN3:AN8)</f>
        <v>56</v>
      </c>
      <c r="AO9" s="20">
        <f>SUM(AO3:AO8)</f>
        <v>0</v>
      </c>
      <c r="AP9" s="67">
        <f>SUM(AP3:AP8)</f>
        <v>158</v>
      </c>
      <c r="AQ9" s="21">
        <f>AP9-AL9</f>
        <v>158</v>
      </c>
      <c r="AR9" s="19">
        <f>SUM(AR3:AR8)</f>
        <v>14</v>
      </c>
      <c r="AS9" s="21">
        <f>AR9-AM9</f>
        <v>14</v>
      </c>
      <c r="AT9" s="19">
        <f>SUM(AT3:AT8)</f>
        <v>44</v>
      </c>
      <c r="AU9" s="21">
        <f>AT9/AN9</f>
        <v>0.7857142857142857</v>
      </c>
      <c r="AV9" s="19">
        <f>SUM(AV3:AV8)</f>
        <v>28</v>
      </c>
      <c r="AW9" s="22" t="e">
        <f>AV9/AO9</f>
        <v>#DIV/0!</v>
      </c>
      <c r="AX9" s="87"/>
    </row>
    <row r="10" spans="1:50" x14ac:dyDescent="0.3">
      <c r="A10" s="29" t="s">
        <v>3</v>
      </c>
      <c r="B10" s="8"/>
      <c r="C10" s="9"/>
      <c r="D10" s="9"/>
      <c r="E10" s="10"/>
      <c r="F10" s="3">
        <v>11</v>
      </c>
      <c r="G10" s="31" t="e">
        <f t="shared" si="0"/>
        <v>#DIV/0!</v>
      </c>
      <c r="H10" s="4"/>
      <c r="I10" s="31" t="e">
        <f t="shared" si="1"/>
        <v>#DIV/0!</v>
      </c>
      <c r="J10" s="4">
        <v>3</v>
      </c>
      <c r="K10" s="31" t="e">
        <f>J10/D10</f>
        <v>#DIV/0!</v>
      </c>
      <c r="L10" s="4"/>
      <c r="M10" s="70" t="e">
        <f t="shared" si="3"/>
        <v>#DIV/0!</v>
      </c>
      <c r="N10" s="8">
        <v>3</v>
      </c>
      <c r="O10" s="9">
        <v>2</v>
      </c>
      <c r="P10" s="9">
        <v>3</v>
      </c>
      <c r="Q10" s="10">
        <v>2</v>
      </c>
      <c r="R10" s="3">
        <v>7</v>
      </c>
      <c r="S10" s="31">
        <f t="shared" ref="S10:S12" si="17">R10/N10</f>
        <v>2.3333333333333335</v>
      </c>
      <c r="T10" s="4">
        <v>2</v>
      </c>
      <c r="U10" s="31">
        <f t="shared" ref="U10:U14" si="18">T10/O10</f>
        <v>1</v>
      </c>
      <c r="V10" s="4"/>
      <c r="W10" s="31">
        <f>V10/P10</f>
        <v>0</v>
      </c>
      <c r="X10" s="4"/>
      <c r="Y10" s="70">
        <f t="shared" ref="Y10:Y14" si="19">X10/Q10</f>
        <v>0</v>
      </c>
      <c r="Z10" s="8">
        <v>10</v>
      </c>
      <c r="AA10" s="9">
        <v>2</v>
      </c>
      <c r="AB10" s="9">
        <v>10</v>
      </c>
      <c r="AC10" s="10">
        <v>8</v>
      </c>
      <c r="AD10" s="3">
        <v>21</v>
      </c>
      <c r="AE10" s="31">
        <f t="shared" si="8"/>
        <v>2.1</v>
      </c>
      <c r="AF10" s="4"/>
      <c r="AG10" s="31">
        <f t="shared" ref="AG10:AG14" si="20">AF10/AA10</f>
        <v>0</v>
      </c>
      <c r="AH10" s="4">
        <v>10</v>
      </c>
      <c r="AI10" s="31">
        <f>AH10/AB10</f>
        <v>1</v>
      </c>
      <c r="AJ10" s="4">
        <v>8</v>
      </c>
      <c r="AK10" s="70">
        <f t="shared" ref="AK10:AK14" si="21">AJ10/AC10</f>
        <v>1</v>
      </c>
      <c r="AL10" s="11"/>
      <c r="AM10" s="12"/>
      <c r="AN10" s="12">
        <v>15</v>
      </c>
      <c r="AO10" s="13"/>
      <c r="AP10" s="65">
        <f t="shared" si="12"/>
        <v>39</v>
      </c>
      <c r="AQ10" s="32" t="e">
        <f t="shared" ref="AQ10:AQ12" si="22">AP10/AL10</f>
        <v>#DIV/0!</v>
      </c>
      <c r="AR10" s="1">
        <f t="shared" si="12"/>
        <v>2</v>
      </c>
      <c r="AS10" s="32" t="e">
        <f t="shared" ref="AS10:AS12" si="23">AR10/AM10</f>
        <v>#DIV/0!</v>
      </c>
      <c r="AT10" s="1">
        <f t="shared" si="12"/>
        <v>13</v>
      </c>
      <c r="AU10" s="32">
        <f>AT10/AN10</f>
        <v>0.8666666666666667</v>
      </c>
      <c r="AV10" s="1">
        <f t="shared" si="12"/>
        <v>8</v>
      </c>
      <c r="AW10" s="69" t="e">
        <f t="shared" ref="AW10:AW12" si="24">AV10/AO10</f>
        <v>#DIV/0!</v>
      </c>
      <c r="AX10" s="88">
        <v>45134</v>
      </c>
    </row>
    <row r="11" spans="1:50" x14ac:dyDescent="0.3">
      <c r="A11" s="30" t="s">
        <v>93</v>
      </c>
      <c r="B11" s="11"/>
      <c r="C11" s="12"/>
      <c r="D11" s="12"/>
      <c r="E11" s="13"/>
      <c r="F11" s="2">
        <v>11</v>
      </c>
      <c r="G11" s="31" t="e">
        <f t="shared" si="0"/>
        <v>#DIV/0!</v>
      </c>
      <c r="H11" s="1"/>
      <c r="I11" s="31" t="e">
        <f t="shared" si="1"/>
        <v>#DIV/0!</v>
      </c>
      <c r="J11" s="1">
        <v>2</v>
      </c>
      <c r="K11" s="31" t="e">
        <f t="shared" ref="K11:K14" si="25">J11/D11</f>
        <v>#DIV/0!</v>
      </c>
      <c r="L11" s="4"/>
      <c r="M11" s="70" t="e">
        <f t="shared" si="3"/>
        <v>#DIV/0!</v>
      </c>
      <c r="N11" s="11">
        <v>3</v>
      </c>
      <c r="O11" s="12">
        <v>2</v>
      </c>
      <c r="P11" s="12">
        <v>3</v>
      </c>
      <c r="Q11" s="13">
        <v>2</v>
      </c>
      <c r="R11" s="2">
        <v>7</v>
      </c>
      <c r="S11" s="31">
        <f t="shared" si="17"/>
        <v>2.3333333333333335</v>
      </c>
      <c r="T11" s="1">
        <v>1</v>
      </c>
      <c r="U11" s="31">
        <f t="shared" si="18"/>
        <v>0.5</v>
      </c>
      <c r="V11" s="1">
        <v>1</v>
      </c>
      <c r="W11" s="31">
        <f t="shared" ref="W11:W14" si="26">V11/P11</f>
        <v>0.33333333333333331</v>
      </c>
      <c r="X11" s="1"/>
      <c r="Y11" s="70">
        <f t="shared" si="19"/>
        <v>0</v>
      </c>
      <c r="Z11" s="11">
        <v>8</v>
      </c>
      <c r="AA11" s="12">
        <v>2</v>
      </c>
      <c r="AB11" s="12">
        <v>8</v>
      </c>
      <c r="AC11" s="13">
        <v>6</v>
      </c>
      <c r="AD11" s="2">
        <v>6</v>
      </c>
      <c r="AE11" s="31">
        <f t="shared" si="8"/>
        <v>0.75</v>
      </c>
      <c r="AF11" s="1">
        <v>2</v>
      </c>
      <c r="AG11" s="31">
        <f t="shared" si="20"/>
        <v>1</v>
      </c>
      <c r="AH11" s="1">
        <v>3</v>
      </c>
      <c r="AI11" s="31">
        <f t="shared" ref="AI11:AI14" si="27">AH11/AB11</f>
        <v>0.375</v>
      </c>
      <c r="AJ11" s="1">
        <v>3</v>
      </c>
      <c r="AK11" s="70">
        <f t="shared" si="21"/>
        <v>0.5</v>
      </c>
      <c r="AL11" s="11"/>
      <c r="AM11" s="12"/>
      <c r="AN11" s="12">
        <v>10</v>
      </c>
      <c r="AO11" s="13"/>
      <c r="AP11" s="65">
        <f t="shared" si="12"/>
        <v>24</v>
      </c>
      <c r="AQ11" s="32" t="e">
        <f t="shared" si="22"/>
        <v>#DIV/0!</v>
      </c>
      <c r="AR11" s="1">
        <f t="shared" si="12"/>
        <v>3</v>
      </c>
      <c r="AS11" s="32" t="e">
        <f t="shared" si="23"/>
        <v>#DIV/0!</v>
      </c>
      <c r="AT11" s="1">
        <f t="shared" si="12"/>
        <v>6</v>
      </c>
      <c r="AU11" s="32">
        <f t="shared" ref="AU11:AU12" si="28">AT11/AN11</f>
        <v>0.6</v>
      </c>
      <c r="AV11" s="1">
        <f t="shared" si="12"/>
        <v>3</v>
      </c>
      <c r="AW11" s="69" t="e">
        <f t="shared" si="24"/>
        <v>#DIV/0!</v>
      </c>
      <c r="AX11" s="98">
        <v>45129</v>
      </c>
    </row>
    <row r="12" spans="1:50" ht="15" thickBot="1" x14ac:dyDescent="0.35">
      <c r="A12" s="71" t="s">
        <v>4</v>
      </c>
      <c r="B12" s="72"/>
      <c r="C12" s="73"/>
      <c r="D12" s="73"/>
      <c r="E12" s="74"/>
      <c r="F12" s="75">
        <v>2</v>
      </c>
      <c r="G12" s="31" t="e">
        <f t="shared" si="0"/>
        <v>#DIV/0!</v>
      </c>
      <c r="H12" s="76"/>
      <c r="I12" s="31" t="e">
        <f t="shared" si="1"/>
        <v>#DIV/0!</v>
      </c>
      <c r="J12" s="76"/>
      <c r="K12" s="31" t="e">
        <f t="shared" si="25"/>
        <v>#DIV/0!</v>
      </c>
      <c r="L12" s="76"/>
      <c r="M12" s="70" t="e">
        <f t="shared" si="3"/>
        <v>#DIV/0!</v>
      </c>
      <c r="N12" s="72">
        <v>2</v>
      </c>
      <c r="O12" s="73">
        <v>1</v>
      </c>
      <c r="P12" s="73">
        <v>1</v>
      </c>
      <c r="Q12" s="74">
        <v>1</v>
      </c>
      <c r="R12" s="75">
        <v>2</v>
      </c>
      <c r="S12" s="31">
        <f t="shared" si="17"/>
        <v>1</v>
      </c>
      <c r="T12" s="76"/>
      <c r="U12" s="31">
        <f t="shared" si="18"/>
        <v>0</v>
      </c>
      <c r="V12" s="76"/>
      <c r="W12" s="31">
        <f t="shared" si="26"/>
        <v>0</v>
      </c>
      <c r="X12" s="76"/>
      <c r="Y12" s="70">
        <f t="shared" si="19"/>
        <v>0</v>
      </c>
      <c r="Z12" s="72">
        <v>4</v>
      </c>
      <c r="AA12" s="73">
        <v>2</v>
      </c>
      <c r="AB12" s="73">
        <v>4</v>
      </c>
      <c r="AC12" s="74">
        <v>3</v>
      </c>
      <c r="AD12" s="75">
        <v>6</v>
      </c>
      <c r="AE12" s="31">
        <f t="shared" si="8"/>
        <v>1.5</v>
      </c>
      <c r="AF12" s="76"/>
      <c r="AG12" s="31">
        <f t="shared" si="20"/>
        <v>0</v>
      </c>
      <c r="AH12" s="76">
        <v>1</v>
      </c>
      <c r="AI12" s="31">
        <f t="shared" si="27"/>
        <v>0.25</v>
      </c>
      <c r="AJ12" s="76">
        <v>1</v>
      </c>
      <c r="AK12" s="70">
        <f t="shared" si="21"/>
        <v>0.33333333333333331</v>
      </c>
      <c r="AL12" s="11"/>
      <c r="AM12" s="12"/>
      <c r="AN12" s="12">
        <v>6</v>
      </c>
      <c r="AO12" s="13"/>
      <c r="AP12" s="65">
        <f t="shared" si="12"/>
        <v>10</v>
      </c>
      <c r="AQ12" s="32" t="e">
        <f t="shared" si="22"/>
        <v>#DIV/0!</v>
      </c>
      <c r="AR12" s="1">
        <f t="shared" si="12"/>
        <v>0</v>
      </c>
      <c r="AS12" s="32" t="e">
        <f t="shared" si="23"/>
        <v>#DIV/0!</v>
      </c>
      <c r="AT12" s="1">
        <f t="shared" si="12"/>
        <v>1</v>
      </c>
      <c r="AU12" s="32">
        <f t="shared" si="28"/>
        <v>0.16666666666666666</v>
      </c>
      <c r="AV12" s="1">
        <f t="shared" si="12"/>
        <v>1</v>
      </c>
      <c r="AW12" s="69" t="e">
        <f t="shared" si="24"/>
        <v>#DIV/0!</v>
      </c>
      <c r="AX12" s="97">
        <v>45132</v>
      </c>
    </row>
    <row r="13" spans="1:50" ht="15" thickBot="1" x14ac:dyDescent="0.35">
      <c r="A13" s="82" t="s">
        <v>13</v>
      </c>
      <c r="B13" s="83">
        <f>SUM(B10:B12)</f>
        <v>0</v>
      </c>
      <c r="C13" s="84">
        <f t="shared" ref="C13:H13" si="29">SUM(C10:C12)</f>
        <v>0</v>
      </c>
      <c r="D13" s="84">
        <f t="shared" si="29"/>
        <v>0</v>
      </c>
      <c r="E13" s="85">
        <f t="shared" si="29"/>
        <v>0</v>
      </c>
      <c r="F13" s="83">
        <f t="shared" si="29"/>
        <v>24</v>
      </c>
      <c r="G13" s="81" t="e">
        <f>F13/B13</f>
        <v>#DIV/0!</v>
      </c>
      <c r="H13" s="84">
        <f t="shared" si="29"/>
        <v>0</v>
      </c>
      <c r="I13" s="81" t="e">
        <f t="shared" si="1"/>
        <v>#DIV/0!</v>
      </c>
      <c r="J13" s="84">
        <f t="shared" ref="J13" si="30">SUM(J10:J12)</f>
        <v>5</v>
      </c>
      <c r="K13" s="81" t="e">
        <f t="shared" si="25"/>
        <v>#DIV/0!</v>
      </c>
      <c r="L13" s="84">
        <f t="shared" ref="L13" si="31">SUM(L10:L12)</f>
        <v>0</v>
      </c>
      <c r="M13" s="81" t="e">
        <f t="shared" si="3"/>
        <v>#DIV/0!</v>
      </c>
      <c r="N13" s="83">
        <f>SUM(N10:N12)</f>
        <v>8</v>
      </c>
      <c r="O13" s="84">
        <f t="shared" ref="O13:R13" si="32">SUM(O10:O12)</f>
        <v>5</v>
      </c>
      <c r="P13" s="84">
        <f t="shared" si="32"/>
        <v>7</v>
      </c>
      <c r="Q13" s="85">
        <f t="shared" si="32"/>
        <v>5</v>
      </c>
      <c r="R13" s="83">
        <f t="shared" si="32"/>
        <v>16</v>
      </c>
      <c r="S13" s="81">
        <f>R13/N13</f>
        <v>2</v>
      </c>
      <c r="T13" s="84">
        <f t="shared" ref="T13" si="33">SUM(T10:T12)</f>
        <v>3</v>
      </c>
      <c r="U13" s="81">
        <f t="shared" si="18"/>
        <v>0.6</v>
      </c>
      <c r="V13" s="84">
        <f t="shared" ref="V13" si="34">SUM(V10:V12)</f>
        <v>1</v>
      </c>
      <c r="W13" s="81">
        <f t="shared" si="26"/>
        <v>0.14285714285714285</v>
      </c>
      <c r="X13" s="84">
        <f t="shared" ref="X13" si="35">SUM(X10:X12)</f>
        <v>0</v>
      </c>
      <c r="Y13" s="81">
        <f t="shared" si="19"/>
        <v>0</v>
      </c>
      <c r="Z13" s="83">
        <f>SUM(Z10:Z12)</f>
        <v>22</v>
      </c>
      <c r="AA13" s="84">
        <f>SUM(AA10:AA12)</f>
        <v>6</v>
      </c>
      <c r="AB13" s="84">
        <f>SUM(AB10:AB12)</f>
        <v>22</v>
      </c>
      <c r="AC13" s="85">
        <f t="shared" ref="AC13:AD13" si="36">SUM(AC10:AC12)</f>
        <v>17</v>
      </c>
      <c r="AD13" s="83">
        <f t="shared" si="36"/>
        <v>33</v>
      </c>
      <c r="AE13" s="81">
        <f>AD13/Z13</f>
        <v>1.5</v>
      </c>
      <c r="AF13" s="84">
        <f t="shared" ref="AF13" si="37">SUM(AF10:AF12)</f>
        <v>2</v>
      </c>
      <c r="AG13" s="81">
        <f t="shared" si="20"/>
        <v>0.33333333333333331</v>
      </c>
      <c r="AH13" s="84">
        <f t="shared" ref="AH13" si="38">SUM(AH10:AH12)</f>
        <v>14</v>
      </c>
      <c r="AI13" s="81">
        <f t="shared" si="27"/>
        <v>0.63636363636363635</v>
      </c>
      <c r="AJ13" s="84">
        <f t="shared" ref="AJ13" si="39">SUM(AJ10:AJ12)</f>
        <v>12</v>
      </c>
      <c r="AK13" s="81">
        <f t="shared" si="21"/>
        <v>0.70588235294117652</v>
      </c>
      <c r="AL13" s="83">
        <f>SUM(AL10:AL12)</f>
        <v>0</v>
      </c>
      <c r="AM13" s="84">
        <f>SUM(AM10:AM12)</f>
        <v>0</v>
      </c>
      <c r="AN13" s="84">
        <f>SUM(AN10:AN12)</f>
        <v>31</v>
      </c>
      <c r="AO13" s="85">
        <f t="shared" ref="AO13:AP13" si="40">SUM(AO10:AO12)</f>
        <v>0</v>
      </c>
      <c r="AP13" s="67">
        <f t="shared" si="40"/>
        <v>73</v>
      </c>
      <c r="AQ13" s="21">
        <f t="shared" ref="AQ13:AQ14" si="41">AP13-AL13</f>
        <v>73</v>
      </c>
      <c r="AR13" s="19">
        <f t="shared" ref="AR13" si="42">SUM(AR10:AR12)</f>
        <v>5</v>
      </c>
      <c r="AS13" s="21">
        <f t="shared" ref="AS13:AS14" si="43">AR13-AM13</f>
        <v>5</v>
      </c>
      <c r="AT13" s="19">
        <f t="shared" ref="AT13" si="44">SUM(AT10:AT12)</f>
        <v>20</v>
      </c>
      <c r="AU13" s="21">
        <f>AT13-AN13</f>
        <v>-11</v>
      </c>
      <c r="AV13" s="19">
        <f t="shared" ref="AV13" si="45">SUM(AV10:AV12)</f>
        <v>12</v>
      </c>
      <c r="AW13" s="22" t="e">
        <f>AV13/AO13</f>
        <v>#DIV/0!</v>
      </c>
      <c r="AX13" s="87"/>
    </row>
    <row r="14" spans="1:50" ht="15" thickBot="1" x14ac:dyDescent="0.35">
      <c r="A14" s="23" t="s">
        <v>8</v>
      </c>
      <c r="B14" s="24">
        <f>SUM(B13+B9)</f>
        <v>0</v>
      </c>
      <c r="C14" s="25">
        <f>SUM(C13+C9)</f>
        <v>0</v>
      </c>
      <c r="D14" s="25">
        <f>SUM(D13+D9)</f>
        <v>0</v>
      </c>
      <c r="E14" s="26">
        <f>SUM(E13+E9)</f>
        <v>0</v>
      </c>
      <c r="F14" s="24">
        <f>SUM(F13+F9)</f>
        <v>47</v>
      </c>
      <c r="G14" s="81" t="e">
        <f>F14/B14</f>
        <v>#DIV/0!</v>
      </c>
      <c r="H14" s="25">
        <f>SUM(H13+H9)</f>
        <v>4</v>
      </c>
      <c r="I14" s="81" t="e">
        <f t="shared" si="1"/>
        <v>#DIV/0!</v>
      </c>
      <c r="J14" s="25">
        <f>SUM(J13+J9)</f>
        <v>16</v>
      </c>
      <c r="K14" s="81" t="e">
        <f t="shared" si="25"/>
        <v>#DIV/0!</v>
      </c>
      <c r="L14" s="25">
        <f>SUM(L13+L9)</f>
        <v>0</v>
      </c>
      <c r="M14" s="81" t="e">
        <f t="shared" si="3"/>
        <v>#DIV/0!</v>
      </c>
      <c r="N14" s="24">
        <f>SUM(N13+N9)</f>
        <v>26</v>
      </c>
      <c r="O14" s="25">
        <f>SUM(O13+O9)</f>
        <v>17</v>
      </c>
      <c r="P14" s="25">
        <f>SUM(P13+P9)</f>
        <v>20</v>
      </c>
      <c r="Q14" s="26">
        <f>SUM(Q13+Q9)</f>
        <v>15</v>
      </c>
      <c r="R14" s="24">
        <f>SUM(R13+R9)</f>
        <v>67</v>
      </c>
      <c r="S14" s="81">
        <f>R14/N14</f>
        <v>2.5769230769230771</v>
      </c>
      <c r="T14" s="25">
        <f>SUM(T13+T9)</f>
        <v>8</v>
      </c>
      <c r="U14" s="81">
        <f t="shared" si="18"/>
        <v>0.47058823529411764</v>
      </c>
      <c r="V14" s="25">
        <f>SUM(V13+V9)</f>
        <v>4</v>
      </c>
      <c r="W14" s="81">
        <f t="shared" si="26"/>
        <v>0.2</v>
      </c>
      <c r="X14" s="25">
        <f>SUM(X13+X9)</f>
        <v>5</v>
      </c>
      <c r="Y14" s="81">
        <f t="shared" si="19"/>
        <v>0.33333333333333331</v>
      </c>
      <c r="Z14" s="24">
        <f t="shared" ref="Z14:AC14" si="46">SUM(Z13+Z9)</f>
        <v>46</v>
      </c>
      <c r="AA14" s="25">
        <f t="shared" si="46"/>
        <v>21</v>
      </c>
      <c r="AB14" s="25">
        <f t="shared" si="46"/>
        <v>64</v>
      </c>
      <c r="AC14" s="26">
        <f t="shared" si="46"/>
        <v>51</v>
      </c>
      <c r="AD14" s="24">
        <f>SUM(AD13+AD9)</f>
        <v>117</v>
      </c>
      <c r="AE14" s="81">
        <f>AD14/Z14</f>
        <v>2.5434782608695654</v>
      </c>
      <c r="AF14" s="25">
        <f>SUM(AF13+AF9)</f>
        <v>7</v>
      </c>
      <c r="AG14" s="81">
        <f t="shared" si="20"/>
        <v>0.33333333333333331</v>
      </c>
      <c r="AH14" s="25">
        <f>SUM(AH13+AH9)</f>
        <v>44</v>
      </c>
      <c r="AI14" s="81">
        <f t="shared" si="27"/>
        <v>0.6875</v>
      </c>
      <c r="AJ14" s="25">
        <f>SUM(AJ13+AJ9)</f>
        <v>35</v>
      </c>
      <c r="AK14" s="81">
        <f t="shared" si="21"/>
        <v>0.68627450980392157</v>
      </c>
      <c r="AL14" s="24">
        <f t="shared" ref="AL14:AO14" si="47">SUM(AL13+AL9)</f>
        <v>0</v>
      </c>
      <c r="AM14" s="25">
        <f t="shared" si="47"/>
        <v>0</v>
      </c>
      <c r="AN14" s="25">
        <f t="shared" si="47"/>
        <v>87</v>
      </c>
      <c r="AO14" s="26">
        <f t="shared" si="47"/>
        <v>0</v>
      </c>
      <c r="AP14" s="68">
        <f>SUM(AP13+AP9)</f>
        <v>231</v>
      </c>
      <c r="AQ14" s="27">
        <f t="shared" si="41"/>
        <v>231</v>
      </c>
      <c r="AR14" s="25">
        <f>SUM(AR13+AR9)</f>
        <v>19</v>
      </c>
      <c r="AS14" s="27">
        <f t="shared" si="43"/>
        <v>19</v>
      </c>
      <c r="AT14" s="25">
        <f>SUM(AT13+AT9)</f>
        <v>64</v>
      </c>
      <c r="AU14" s="27">
        <f>AT14-AN14</f>
        <v>-23</v>
      </c>
      <c r="AV14" s="25">
        <f>SUM(AV13+AV9)</f>
        <v>40</v>
      </c>
      <c r="AW14" s="28" t="e">
        <f>AV14/AO14</f>
        <v>#DIV/0!</v>
      </c>
      <c r="AX14" s="89"/>
    </row>
  </sheetData>
  <mergeCells count="10">
    <mergeCell ref="AD1:AK1"/>
    <mergeCell ref="AL1:AO1"/>
    <mergeCell ref="AP1:AW1"/>
    <mergeCell ref="AX1:AX2"/>
    <mergeCell ref="A1:A2"/>
    <mergeCell ref="B1:E1"/>
    <mergeCell ref="F1:M1"/>
    <mergeCell ref="N1:Q1"/>
    <mergeCell ref="R1:Y1"/>
    <mergeCell ref="Z1:AC1"/>
  </mergeCells>
  <conditionalFormatting sqref="G3:G8">
    <cfRule type="colorScale" priority="25">
      <colorScale>
        <cfvo type="min"/>
        <cfvo type="percentile" val="30"/>
        <color rgb="FFFF0000"/>
        <color rgb="FF00B050"/>
      </colorScale>
    </cfRule>
  </conditionalFormatting>
  <conditionalFormatting sqref="G10">
    <cfRule type="colorScale" priority="23">
      <colorScale>
        <cfvo type="min"/>
        <cfvo type="percentile" val="30"/>
        <color rgb="FFFF0000"/>
        <color rgb="FF00B050"/>
      </colorScale>
    </cfRule>
  </conditionalFormatting>
  <conditionalFormatting sqref="G11">
    <cfRule type="colorScale" priority="22">
      <colorScale>
        <cfvo type="min"/>
        <cfvo type="percentile" val="30"/>
        <color rgb="FFFF0000"/>
        <color rgb="FF00B050"/>
      </colorScale>
    </cfRule>
  </conditionalFormatting>
  <conditionalFormatting sqref="G12">
    <cfRule type="colorScale" priority="21">
      <colorScale>
        <cfvo type="min"/>
        <cfvo type="percentile" val="30"/>
        <color rgb="FFFF0000"/>
        <color rgb="FF00B050"/>
      </colorScale>
    </cfRule>
  </conditionalFormatting>
  <conditionalFormatting sqref="I3:I8 K3:K8">
    <cfRule type="colorScale" priority="26">
      <colorScale>
        <cfvo type="min"/>
        <cfvo type="percentile" val="90"/>
        <color rgb="FFFF0000"/>
        <color rgb="FF00B050"/>
      </colorScale>
    </cfRule>
  </conditionalFormatting>
  <conditionalFormatting sqref="I10:I12">
    <cfRule type="colorScale" priority="20">
      <colorScale>
        <cfvo type="min"/>
        <cfvo type="percentile" val="90"/>
        <color rgb="FFFF0000"/>
        <color rgb="FF00B050"/>
      </colorScale>
    </cfRule>
  </conditionalFormatting>
  <conditionalFormatting sqref="K10:K12">
    <cfRule type="colorScale" priority="24">
      <colorScale>
        <cfvo type="percentile" val="10"/>
        <cfvo type="percent" val="90"/>
        <color rgb="FFFF0000"/>
        <color rgb="FF00B050"/>
      </colorScale>
    </cfRule>
  </conditionalFormatting>
  <conditionalFormatting sqref="M3:M8">
    <cfRule type="colorScale" priority="27">
      <colorScale>
        <cfvo type="min"/>
        <cfvo type="percentile" val="90"/>
        <color rgb="FFFF0000"/>
        <color rgb="FF00B050"/>
      </colorScale>
    </cfRule>
  </conditionalFormatting>
  <conditionalFormatting sqref="M10:M12">
    <cfRule type="colorScale" priority="19">
      <colorScale>
        <cfvo type="min"/>
        <cfvo type="percentile" val="90"/>
        <color rgb="FFFF0000"/>
        <color rgb="FF00B050"/>
      </colorScale>
    </cfRule>
  </conditionalFormatting>
  <conditionalFormatting sqref="S3:S8">
    <cfRule type="colorScale" priority="28">
      <colorScale>
        <cfvo type="min"/>
        <cfvo type="percentile" val="30"/>
        <color rgb="FFFF0000"/>
        <color rgb="FF00B050"/>
      </colorScale>
    </cfRule>
  </conditionalFormatting>
  <conditionalFormatting sqref="S10">
    <cfRule type="colorScale" priority="11">
      <colorScale>
        <cfvo type="min"/>
        <cfvo type="percentile" val="30"/>
        <color rgb="FFFF0000"/>
        <color rgb="FF00B050"/>
      </colorScale>
    </cfRule>
  </conditionalFormatting>
  <conditionalFormatting sqref="S11">
    <cfRule type="colorScale" priority="10">
      <colorScale>
        <cfvo type="min"/>
        <cfvo type="percentile" val="30"/>
        <color rgb="FFFF0000"/>
        <color rgb="FF00B050"/>
      </colorScale>
    </cfRule>
  </conditionalFormatting>
  <conditionalFormatting sqref="S12">
    <cfRule type="colorScale" priority="9">
      <colorScale>
        <cfvo type="min"/>
        <cfvo type="percentile" val="30"/>
        <color rgb="FFFF0000"/>
        <color rgb="FF00B050"/>
      </colorScale>
    </cfRule>
  </conditionalFormatting>
  <conditionalFormatting sqref="U3:U8 W3:W8">
    <cfRule type="colorScale" priority="29">
      <colorScale>
        <cfvo type="min"/>
        <cfvo type="percentile" val="90"/>
        <color rgb="FFFF0000"/>
        <color rgb="FF00B050"/>
      </colorScale>
    </cfRule>
  </conditionalFormatting>
  <conditionalFormatting sqref="U10:U12">
    <cfRule type="colorScale" priority="8">
      <colorScale>
        <cfvo type="min"/>
        <cfvo type="percentile" val="90"/>
        <color rgb="FFFF0000"/>
        <color rgb="FF00B050"/>
      </colorScale>
    </cfRule>
  </conditionalFormatting>
  <conditionalFormatting sqref="W10:W12">
    <cfRule type="colorScale" priority="12">
      <colorScale>
        <cfvo type="percentile" val="10"/>
        <cfvo type="percent" val="90"/>
        <color rgb="FFFF0000"/>
        <color rgb="FF00B050"/>
      </colorScale>
    </cfRule>
  </conditionalFormatting>
  <conditionalFormatting sqref="Y3:Y8">
    <cfRule type="colorScale" priority="30">
      <colorScale>
        <cfvo type="min"/>
        <cfvo type="percentile" val="90"/>
        <color rgb="FFFF0000"/>
        <color rgb="FF00B050"/>
      </colorScale>
    </cfRule>
  </conditionalFormatting>
  <conditionalFormatting sqref="Y10:Y12">
    <cfRule type="colorScale" priority="7">
      <colorScale>
        <cfvo type="min"/>
        <cfvo type="percentile" val="90"/>
        <color rgb="FFFF0000"/>
        <color rgb="FF00B050"/>
      </colorScale>
    </cfRule>
  </conditionalFormatting>
  <conditionalFormatting sqref="AE3:AE8">
    <cfRule type="colorScale" priority="31">
      <colorScale>
        <cfvo type="min"/>
        <cfvo type="percentile" val="30"/>
        <color rgb="FFFF0000"/>
        <color rgb="FF00B050"/>
      </colorScale>
    </cfRule>
  </conditionalFormatting>
  <conditionalFormatting sqref="AE10">
    <cfRule type="colorScale" priority="3">
      <colorScale>
        <cfvo type="min"/>
        <cfvo type="percentile" val="30"/>
        <color rgb="FFFF0000"/>
        <color rgb="FF00B050"/>
      </colorScale>
    </cfRule>
  </conditionalFormatting>
  <conditionalFormatting sqref="AE11">
    <cfRule type="colorScale" priority="2">
      <colorScale>
        <cfvo type="min"/>
        <cfvo type="percentile" val="30"/>
        <color rgb="FFFF0000"/>
        <color rgb="FF00B050"/>
      </colorScale>
    </cfRule>
  </conditionalFormatting>
  <conditionalFormatting sqref="AE12">
    <cfRule type="colorScale" priority="1">
      <colorScale>
        <cfvo type="min"/>
        <cfvo type="percentile" val="30"/>
        <color rgb="FFFF0000"/>
        <color rgb="FF00B050"/>
      </colorScale>
    </cfRule>
  </conditionalFormatting>
  <conditionalFormatting sqref="AG3:AG8 AI3:AI8">
    <cfRule type="colorScale" priority="32">
      <colorScale>
        <cfvo type="min"/>
        <cfvo type="percentile" val="90"/>
        <color rgb="FFFF0000"/>
        <color rgb="FF00B050"/>
      </colorScale>
    </cfRule>
  </conditionalFormatting>
  <conditionalFormatting sqref="AG10:AG12">
    <cfRule type="colorScale" priority="5">
      <colorScale>
        <cfvo type="min"/>
        <cfvo type="percentile" val="90"/>
        <color rgb="FFFF0000"/>
        <color rgb="FF00B050"/>
      </colorScale>
    </cfRule>
  </conditionalFormatting>
  <conditionalFormatting sqref="AI10:AI12">
    <cfRule type="colorScale" priority="6">
      <colorScale>
        <cfvo type="percentile" val="10"/>
        <cfvo type="percent" val="90"/>
        <color rgb="FFFF0000"/>
        <color rgb="FF00B050"/>
      </colorScale>
    </cfRule>
  </conditionalFormatting>
  <conditionalFormatting sqref="AK3:AK8">
    <cfRule type="colorScale" priority="33">
      <colorScale>
        <cfvo type="min"/>
        <cfvo type="percentile" val="90"/>
        <color rgb="FFFF0000"/>
        <color rgb="FF00B050"/>
      </colorScale>
    </cfRule>
  </conditionalFormatting>
  <conditionalFormatting sqref="AK10:AK12">
    <cfRule type="colorScale" priority="4">
      <colorScale>
        <cfvo type="min"/>
        <cfvo type="percentile" val="90"/>
        <color rgb="FFFF0000"/>
        <color rgb="FF00B050"/>
      </colorScale>
    </cfRule>
  </conditionalFormatting>
  <conditionalFormatting sqref="AQ3:AQ8">
    <cfRule type="colorScale" priority="34">
      <colorScale>
        <cfvo type="min"/>
        <cfvo type="percentile" val="30"/>
        <color rgb="FFFF0000"/>
        <color rgb="FF00B050"/>
      </colorScale>
    </cfRule>
  </conditionalFormatting>
  <conditionalFormatting sqref="AQ10">
    <cfRule type="colorScale" priority="17">
      <colorScale>
        <cfvo type="min"/>
        <cfvo type="percentile" val="30"/>
        <color rgb="FFFF0000"/>
        <color rgb="FF00B050"/>
      </colorScale>
    </cfRule>
  </conditionalFormatting>
  <conditionalFormatting sqref="AQ11">
    <cfRule type="colorScale" priority="16">
      <colorScale>
        <cfvo type="min"/>
        <cfvo type="percentile" val="30"/>
        <color rgb="FFFF0000"/>
        <color rgb="FF00B050"/>
      </colorScale>
    </cfRule>
  </conditionalFormatting>
  <conditionalFormatting sqref="AQ12">
    <cfRule type="colorScale" priority="15">
      <colorScale>
        <cfvo type="min"/>
        <cfvo type="percentile" val="30"/>
        <color rgb="FFFF0000"/>
        <color rgb="FF00B050"/>
      </colorScale>
    </cfRule>
  </conditionalFormatting>
  <conditionalFormatting sqref="AS3:AS8 AU3:AU8">
    <cfRule type="colorScale" priority="35">
      <colorScale>
        <cfvo type="min"/>
        <cfvo type="percentile" val="90"/>
        <color rgb="FFFF0000"/>
        <color rgb="FF00B050"/>
      </colorScale>
    </cfRule>
  </conditionalFormatting>
  <conditionalFormatting sqref="AS10:AS12">
    <cfRule type="colorScale" priority="14">
      <colorScale>
        <cfvo type="min"/>
        <cfvo type="percentile" val="90"/>
        <color rgb="FFFF0000"/>
        <color rgb="FF00B050"/>
      </colorScale>
    </cfRule>
  </conditionalFormatting>
  <conditionalFormatting sqref="AU10:AU12">
    <cfRule type="colorScale" priority="18">
      <colorScale>
        <cfvo type="percentile" val="10"/>
        <cfvo type="percent" val="90"/>
        <color rgb="FFFF0000"/>
        <color rgb="FF00B050"/>
      </colorScale>
    </cfRule>
  </conditionalFormatting>
  <conditionalFormatting sqref="AW3:AW8">
    <cfRule type="colorScale" priority="36">
      <colorScale>
        <cfvo type="min"/>
        <cfvo type="percentile" val="90"/>
        <color rgb="FFFF0000"/>
        <color rgb="FF00B050"/>
      </colorScale>
    </cfRule>
  </conditionalFormatting>
  <conditionalFormatting sqref="AW10:AW12">
    <cfRule type="colorScale" priority="13">
      <colorScale>
        <cfvo type="min"/>
        <cfvo type="percentile" val="90"/>
        <color rgb="FFFF0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7502-12BE-4BC4-AF9F-4450460A3629}">
  <dimension ref="A1:AX1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B7" sqref="AB7"/>
    </sheetView>
  </sheetViews>
  <sheetFormatPr defaultRowHeight="14.4" x14ac:dyDescent="0.3"/>
  <cols>
    <col min="1" max="1" width="13.88671875" bestFit="1" customWidth="1"/>
    <col min="2" max="2" width="5.44140625" bestFit="1" customWidth="1"/>
    <col min="3" max="3" width="8.88671875" bestFit="1" customWidth="1"/>
    <col min="4" max="4" width="6.77734375" bestFit="1" customWidth="1"/>
    <col min="5" max="5" width="3.109375" bestFit="1" customWidth="1"/>
    <col min="6" max="7" width="5.44140625" bestFit="1" customWidth="1"/>
    <col min="8" max="8" width="8.88671875" bestFit="1" customWidth="1"/>
    <col min="9" max="9" width="3.44140625" bestFit="1" customWidth="1"/>
    <col min="10" max="10" width="6.77734375" bestFit="1" customWidth="1"/>
    <col min="11" max="11" width="7.5546875" bestFit="1" customWidth="1"/>
    <col min="12" max="12" width="3.109375" bestFit="1" customWidth="1"/>
    <col min="13" max="13" width="7.5546875" bestFit="1" customWidth="1"/>
    <col min="14" max="14" width="5.44140625" bestFit="1" customWidth="1"/>
    <col min="15" max="15" width="8.88671875" bestFit="1" customWidth="1"/>
    <col min="16" max="16" width="6.77734375" bestFit="1" customWidth="1"/>
    <col min="17" max="17" width="3.109375" bestFit="1" customWidth="1"/>
    <col min="18" max="19" width="5.44140625" bestFit="1" customWidth="1"/>
    <col min="20" max="20" width="8.88671875" bestFit="1" customWidth="1"/>
    <col min="21" max="21" width="5.44140625" bestFit="1" customWidth="1"/>
    <col min="22" max="22" width="6.77734375" bestFit="1" customWidth="1"/>
    <col min="23" max="23" width="4.44140625" bestFit="1" customWidth="1"/>
    <col min="24" max="24" width="3.109375" bestFit="1" customWidth="1"/>
    <col min="25" max="25" width="7.5546875" bestFit="1" customWidth="1"/>
    <col min="26" max="26" width="5.44140625" bestFit="1" customWidth="1"/>
    <col min="27" max="27" width="8.88671875" bestFit="1" customWidth="1"/>
    <col min="28" max="28" width="6.77734375" bestFit="1" customWidth="1"/>
    <col min="29" max="29" width="3.109375" bestFit="1" customWidth="1"/>
    <col min="30" max="30" width="5.44140625" bestFit="1" customWidth="1"/>
    <col min="31" max="31" width="7.5546875" bestFit="1" customWidth="1"/>
    <col min="32" max="32" width="8.88671875" bestFit="1" customWidth="1"/>
    <col min="33" max="33" width="5.44140625" bestFit="1" customWidth="1"/>
    <col min="34" max="34" width="6.77734375" bestFit="1" customWidth="1"/>
    <col min="35" max="35" width="4.44140625" bestFit="1" customWidth="1"/>
    <col min="36" max="36" width="3.109375" bestFit="1" customWidth="1"/>
    <col min="37" max="37" width="4.44140625" bestFit="1" customWidth="1"/>
    <col min="38" max="38" width="5.44140625" bestFit="1" customWidth="1"/>
    <col min="39" max="39" width="8.88671875" bestFit="1" customWidth="1"/>
    <col min="40" max="40" width="6.77734375" bestFit="1" customWidth="1"/>
    <col min="41" max="41" width="3.109375" bestFit="1" customWidth="1"/>
    <col min="42" max="42" width="5.44140625" bestFit="1" customWidth="1"/>
    <col min="43" max="43" width="6.44140625" bestFit="1" customWidth="1"/>
    <col min="44" max="44" width="8.88671875" bestFit="1" customWidth="1"/>
    <col min="45" max="45" width="7.109375" bestFit="1" customWidth="1"/>
    <col min="46" max="46" width="6.77734375" bestFit="1" customWidth="1"/>
    <col min="47" max="47" width="7.109375" bestFit="1" customWidth="1"/>
    <col min="48" max="48" width="3.109375" bestFit="1" customWidth="1"/>
    <col min="49" max="49" width="4.44140625" bestFit="1" customWidth="1"/>
    <col min="50" max="50" width="16.109375" bestFit="1" customWidth="1"/>
  </cols>
  <sheetData>
    <row r="1" spans="1:50" x14ac:dyDescent="0.3">
      <c r="A1" s="132" t="s">
        <v>69</v>
      </c>
      <c r="B1" s="125" t="s">
        <v>11</v>
      </c>
      <c r="C1" s="126"/>
      <c r="D1" s="126"/>
      <c r="E1" s="127"/>
      <c r="F1" s="134" t="s">
        <v>88</v>
      </c>
      <c r="G1" s="135"/>
      <c r="H1" s="135"/>
      <c r="I1" s="135"/>
      <c r="J1" s="135"/>
      <c r="K1" s="135"/>
      <c r="L1" s="135"/>
      <c r="M1" s="136"/>
      <c r="N1" s="125" t="s">
        <v>66</v>
      </c>
      <c r="O1" s="126"/>
      <c r="P1" s="126"/>
      <c r="Q1" s="127"/>
      <c r="R1" s="137" t="s">
        <v>80</v>
      </c>
      <c r="S1" s="138"/>
      <c r="T1" s="138"/>
      <c r="U1" s="138"/>
      <c r="V1" s="138"/>
      <c r="W1" s="138"/>
      <c r="X1" s="138"/>
      <c r="Y1" s="139"/>
      <c r="Z1" s="125" t="s">
        <v>87</v>
      </c>
      <c r="AA1" s="126"/>
      <c r="AB1" s="126"/>
      <c r="AC1" s="127"/>
      <c r="AD1" s="122" t="s">
        <v>79</v>
      </c>
      <c r="AE1" s="123"/>
      <c r="AF1" s="123"/>
      <c r="AG1" s="123"/>
      <c r="AH1" s="123"/>
      <c r="AI1" s="123"/>
      <c r="AJ1" s="123"/>
      <c r="AK1" s="124"/>
      <c r="AL1" s="125" t="s">
        <v>83</v>
      </c>
      <c r="AM1" s="126"/>
      <c r="AN1" s="126"/>
      <c r="AO1" s="127"/>
      <c r="AP1" s="128" t="s">
        <v>84</v>
      </c>
      <c r="AQ1" s="123"/>
      <c r="AR1" s="123"/>
      <c r="AS1" s="123"/>
      <c r="AT1" s="123"/>
      <c r="AU1" s="123"/>
      <c r="AV1" s="123"/>
      <c r="AW1" s="129"/>
      <c r="AX1" s="130" t="s">
        <v>68</v>
      </c>
    </row>
    <row r="2" spans="1:50" ht="15" thickBot="1" x14ac:dyDescent="0.35">
      <c r="A2" s="133"/>
      <c r="B2" s="5" t="s">
        <v>6</v>
      </c>
      <c r="C2" s="6" t="s">
        <v>9</v>
      </c>
      <c r="D2" s="6" t="s">
        <v>10</v>
      </c>
      <c r="E2" s="7" t="s">
        <v>63</v>
      </c>
      <c r="F2" s="14" t="s">
        <v>6</v>
      </c>
      <c r="G2" s="15" t="s">
        <v>22</v>
      </c>
      <c r="H2" s="15" t="s">
        <v>9</v>
      </c>
      <c r="I2" s="15" t="s">
        <v>22</v>
      </c>
      <c r="J2" s="15" t="s">
        <v>10</v>
      </c>
      <c r="K2" s="15" t="s">
        <v>22</v>
      </c>
      <c r="L2" s="15" t="s">
        <v>63</v>
      </c>
      <c r="M2" s="16" t="s">
        <v>22</v>
      </c>
      <c r="N2" s="5" t="s">
        <v>6</v>
      </c>
      <c r="O2" s="6" t="s">
        <v>9</v>
      </c>
      <c r="P2" s="6" t="s">
        <v>10</v>
      </c>
      <c r="Q2" s="7" t="s">
        <v>63</v>
      </c>
      <c r="R2" s="14" t="s">
        <v>6</v>
      </c>
      <c r="S2" s="15" t="s">
        <v>22</v>
      </c>
      <c r="T2" s="15" t="s">
        <v>9</v>
      </c>
      <c r="U2" s="15" t="s">
        <v>22</v>
      </c>
      <c r="V2" s="15" t="s">
        <v>10</v>
      </c>
      <c r="W2" s="15" t="s">
        <v>22</v>
      </c>
      <c r="X2" s="15" t="s">
        <v>63</v>
      </c>
      <c r="Y2" s="16" t="s">
        <v>22</v>
      </c>
      <c r="Z2" s="5" t="s">
        <v>6</v>
      </c>
      <c r="AA2" s="6" t="s">
        <v>9</v>
      </c>
      <c r="AB2" s="6" t="s">
        <v>10</v>
      </c>
      <c r="AC2" s="7" t="s">
        <v>63</v>
      </c>
      <c r="AD2" s="14" t="s">
        <v>6</v>
      </c>
      <c r="AE2" s="15" t="s">
        <v>22</v>
      </c>
      <c r="AF2" s="15" t="s">
        <v>9</v>
      </c>
      <c r="AG2" s="15" t="s">
        <v>22</v>
      </c>
      <c r="AH2" s="15" t="s">
        <v>10</v>
      </c>
      <c r="AI2" s="15" t="s">
        <v>22</v>
      </c>
      <c r="AJ2" s="15" t="s">
        <v>63</v>
      </c>
      <c r="AK2" s="16" t="s">
        <v>22</v>
      </c>
      <c r="AL2" s="5" t="s">
        <v>6</v>
      </c>
      <c r="AM2" s="6" t="s">
        <v>9</v>
      </c>
      <c r="AN2" s="6" t="s">
        <v>10</v>
      </c>
      <c r="AO2" s="7" t="s">
        <v>63</v>
      </c>
      <c r="AP2" s="66" t="s">
        <v>6</v>
      </c>
      <c r="AQ2" s="15" t="s">
        <v>22</v>
      </c>
      <c r="AR2" s="15" t="s">
        <v>9</v>
      </c>
      <c r="AS2" s="15" t="s">
        <v>22</v>
      </c>
      <c r="AT2" s="15" t="s">
        <v>10</v>
      </c>
      <c r="AU2" s="15" t="s">
        <v>22</v>
      </c>
      <c r="AV2" s="15" t="s">
        <v>63</v>
      </c>
      <c r="AW2" s="16" t="s">
        <v>22</v>
      </c>
      <c r="AX2" s="131"/>
    </row>
    <row r="3" spans="1:50" x14ac:dyDescent="0.3">
      <c r="A3" s="29" t="s">
        <v>0</v>
      </c>
      <c r="B3" s="8">
        <v>4</v>
      </c>
      <c r="C3" s="9">
        <v>2</v>
      </c>
      <c r="D3" s="9">
        <v>1</v>
      </c>
      <c r="E3" s="10">
        <v>1</v>
      </c>
      <c r="F3" s="3">
        <v>5</v>
      </c>
      <c r="G3" s="31">
        <f>F3/B3</f>
        <v>1.25</v>
      </c>
      <c r="H3" s="4">
        <v>0</v>
      </c>
      <c r="I3" s="31">
        <f>H3/C3</f>
        <v>0</v>
      </c>
      <c r="J3" s="4">
        <v>1</v>
      </c>
      <c r="K3" s="31">
        <f>J3/D3</f>
        <v>1</v>
      </c>
      <c r="L3" s="4"/>
      <c r="M3" s="70">
        <f>L3/E3</f>
        <v>0</v>
      </c>
      <c r="N3" s="8">
        <v>4</v>
      </c>
      <c r="O3" s="9">
        <v>2</v>
      </c>
      <c r="P3" s="9">
        <v>3</v>
      </c>
      <c r="Q3" s="10">
        <v>2</v>
      </c>
      <c r="R3" s="3">
        <v>14</v>
      </c>
      <c r="S3" s="31">
        <f>R3/N3</f>
        <v>3.5</v>
      </c>
      <c r="T3" s="4">
        <v>1</v>
      </c>
      <c r="U3" s="31">
        <f>T3/O3</f>
        <v>0.5</v>
      </c>
      <c r="V3" s="4">
        <v>1</v>
      </c>
      <c r="W3" s="31">
        <f>V3/P3</f>
        <v>0.33333333333333331</v>
      </c>
      <c r="X3" s="4">
        <v>2</v>
      </c>
      <c r="Y3" s="70">
        <f>X3/Q3</f>
        <v>1</v>
      </c>
      <c r="Z3" s="8">
        <v>6</v>
      </c>
      <c r="AA3" s="9">
        <v>3</v>
      </c>
      <c r="AB3" s="9">
        <v>10</v>
      </c>
      <c r="AC3" s="10">
        <v>8</v>
      </c>
      <c r="AD3" s="3">
        <v>28</v>
      </c>
      <c r="AE3" s="31">
        <f>AD3/Z3</f>
        <v>4.666666666666667</v>
      </c>
      <c r="AF3" s="4">
        <v>1</v>
      </c>
      <c r="AG3" s="31">
        <f>AF3/AA3</f>
        <v>0.33333333333333331</v>
      </c>
      <c r="AH3" s="4">
        <v>8</v>
      </c>
      <c r="AI3" s="31">
        <f>AH3/AB3</f>
        <v>0.8</v>
      </c>
      <c r="AJ3" s="4">
        <v>6</v>
      </c>
      <c r="AK3" s="70">
        <f>AJ3/AC3</f>
        <v>0.75</v>
      </c>
      <c r="AL3" s="8">
        <f>B3+N3+Z3</f>
        <v>14</v>
      </c>
      <c r="AM3" s="9">
        <f>C3+O3+AA3</f>
        <v>7</v>
      </c>
      <c r="AN3" s="9">
        <v>12</v>
      </c>
      <c r="AO3" s="10">
        <v>10</v>
      </c>
      <c r="AP3" s="64">
        <f>F3+R3+AD3</f>
        <v>47</v>
      </c>
      <c r="AQ3" s="31">
        <f>AP3/AL3</f>
        <v>3.3571428571428572</v>
      </c>
      <c r="AR3" s="4">
        <f>H3+T3+AF3</f>
        <v>2</v>
      </c>
      <c r="AS3" s="31">
        <f>AR3/AM3</f>
        <v>0.2857142857142857</v>
      </c>
      <c r="AT3" s="4">
        <f>J3+V3+AH3</f>
        <v>10</v>
      </c>
      <c r="AU3" s="31">
        <f>AT3/AN3</f>
        <v>0.83333333333333337</v>
      </c>
      <c r="AV3" s="4">
        <f>L3+X3+AJ3</f>
        <v>8</v>
      </c>
      <c r="AW3" s="70">
        <f>AV3/AO3</f>
        <v>0.8</v>
      </c>
      <c r="AX3" s="86">
        <v>45134</v>
      </c>
    </row>
    <row r="4" spans="1:50" x14ac:dyDescent="0.3">
      <c r="A4" s="30" t="s">
        <v>1</v>
      </c>
      <c r="B4" s="11">
        <v>4</v>
      </c>
      <c r="C4" s="12">
        <v>1</v>
      </c>
      <c r="D4" s="12">
        <v>1</v>
      </c>
      <c r="E4" s="13">
        <v>1</v>
      </c>
      <c r="F4" s="2">
        <v>4</v>
      </c>
      <c r="G4" s="31">
        <f t="shared" ref="G4:G11" si="0">F4/B4</f>
        <v>1</v>
      </c>
      <c r="H4" s="1">
        <v>0</v>
      </c>
      <c r="I4" s="31">
        <f t="shared" ref="I4:I13" si="1">H4/C4</f>
        <v>0</v>
      </c>
      <c r="J4" s="1">
        <v>2</v>
      </c>
      <c r="K4" s="31">
        <f t="shared" ref="K4:K7" si="2">J4/D4</f>
        <v>2</v>
      </c>
      <c r="L4" s="52">
        <v>5</v>
      </c>
      <c r="M4" s="70">
        <f t="shared" ref="M4:M13" si="3">L4/E4</f>
        <v>5</v>
      </c>
      <c r="N4" s="11">
        <v>4</v>
      </c>
      <c r="O4" s="12">
        <v>3</v>
      </c>
      <c r="P4" s="12">
        <v>3</v>
      </c>
      <c r="Q4" s="13">
        <v>3</v>
      </c>
      <c r="R4" s="2">
        <v>11</v>
      </c>
      <c r="S4" s="31">
        <f t="shared" ref="S4:S7" si="4">R4/N4</f>
        <v>2.75</v>
      </c>
      <c r="T4" s="1"/>
      <c r="U4" s="31">
        <f t="shared" ref="U4:U7" si="5">T4/O4</f>
        <v>0</v>
      </c>
      <c r="V4" s="1">
        <v>1</v>
      </c>
      <c r="W4" s="31">
        <f t="shared" ref="W4:W7" si="6">V4/P4</f>
        <v>0.33333333333333331</v>
      </c>
      <c r="X4" s="4"/>
      <c r="Y4" s="70">
        <f t="shared" ref="Y4:Y7" si="7">X4/Q4</f>
        <v>0</v>
      </c>
      <c r="Z4" s="11">
        <v>5</v>
      </c>
      <c r="AA4" s="12">
        <v>3</v>
      </c>
      <c r="AB4" s="12">
        <v>9</v>
      </c>
      <c r="AC4" s="13">
        <v>8</v>
      </c>
      <c r="AD4" s="2">
        <v>15</v>
      </c>
      <c r="AE4" s="31">
        <f t="shared" ref="AE4:AE11" si="8">AD4/Z4</f>
        <v>3</v>
      </c>
      <c r="AF4" s="1"/>
      <c r="AG4" s="31">
        <f t="shared" ref="AG4:AG7" si="9">AF4/AA4</f>
        <v>0</v>
      </c>
      <c r="AH4" s="1">
        <v>7</v>
      </c>
      <c r="AI4" s="31">
        <f t="shared" ref="AI4:AI7" si="10">AH4/AB4</f>
        <v>0.77777777777777779</v>
      </c>
      <c r="AJ4" s="4">
        <v>7</v>
      </c>
      <c r="AK4" s="70">
        <f t="shared" ref="AK4:AK7" si="11">AJ4/AC4</f>
        <v>0.875</v>
      </c>
      <c r="AL4" s="11">
        <f t="shared" ref="AL4:AM11" si="12">B4+N4+Z4</f>
        <v>13</v>
      </c>
      <c r="AM4" s="12">
        <f t="shared" si="12"/>
        <v>7</v>
      </c>
      <c r="AN4" s="12">
        <v>12</v>
      </c>
      <c r="AO4" s="13">
        <v>10</v>
      </c>
      <c r="AP4" s="65">
        <f t="shared" ref="AP4:AV11" si="13">F4+R4+AD4</f>
        <v>30</v>
      </c>
      <c r="AQ4" s="32">
        <f t="shared" ref="AQ4:AQ7" si="14">AP4/AL4</f>
        <v>2.3076923076923075</v>
      </c>
      <c r="AR4" s="1">
        <f t="shared" si="13"/>
        <v>0</v>
      </c>
      <c r="AS4" s="32">
        <f t="shared" ref="AS4:AS7" si="15">AR4/AM4</f>
        <v>0</v>
      </c>
      <c r="AT4" s="1">
        <f t="shared" si="13"/>
        <v>10</v>
      </c>
      <c r="AU4" s="32">
        <f t="shared" ref="AU4:AU7" si="16">AT4/AN4</f>
        <v>0.83333333333333337</v>
      </c>
      <c r="AV4" s="1">
        <f t="shared" si="13"/>
        <v>12</v>
      </c>
      <c r="AW4" s="69">
        <f t="shared" ref="AW4:AW7" si="17">AV4/AO4</f>
        <v>1.2</v>
      </c>
      <c r="AX4" s="86">
        <v>45133</v>
      </c>
    </row>
    <row r="5" spans="1:50" x14ac:dyDescent="0.3">
      <c r="A5" s="30" t="s">
        <v>7</v>
      </c>
      <c r="B5" s="11">
        <v>2</v>
      </c>
      <c r="C5" s="12">
        <v>2</v>
      </c>
      <c r="D5" s="12">
        <v>0</v>
      </c>
      <c r="E5" s="13">
        <v>1</v>
      </c>
      <c r="F5" s="2">
        <v>2</v>
      </c>
      <c r="G5" s="31">
        <f t="shared" si="0"/>
        <v>1</v>
      </c>
      <c r="H5" s="1">
        <v>0</v>
      </c>
      <c r="I5" s="31">
        <f t="shared" si="1"/>
        <v>0</v>
      </c>
      <c r="J5" s="1">
        <v>1</v>
      </c>
      <c r="K5" s="31" t="e">
        <f t="shared" si="2"/>
        <v>#DIV/0!</v>
      </c>
      <c r="L5" s="1"/>
      <c r="M5" s="70">
        <f t="shared" si="3"/>
        <v>0</v>
      </c>
      <c r="N5" s="11">
        <v>3</v>
      </c>
      <c r="O5" s="12">
        <v>2</v>
      </c>
      <c r="P5" s="12">
        <v>2</v>
      </c>
      <c r="Q5" s="13">
        <v>2</v>
      </c>
      <c r="R5" s="2">
        <v>2</v>
      </c>
      <c r="S5" s="31">
        <f t="shared" si="4"/>
        <v>0.66666666666666663</v>
      </c>
      <c r="T5" s="1">
        <v>2</v>
      </c>
      <c r="U5" s="31">
        <f t="shared" si="5"/>
        <v>1</v>
      </c>
      <c r="V5" s="1"/>
      <c r="W5" s="31">
        <f t="shared" si="6"/>
        <v>0</v>
      </c>
      <c r="X5" s="1">
        <v>1</v>
      </c>
      <c r="Y5" s="70">
        <f t="shared" si="7"/>
        <v>0.5</v>
      </c>
      <c r="Z5" s="11">
        <v>2</v>
      </c>
      <c r="AA5" s="12">
        <v>2</v>
      </c>
      <c r="AB5" s="12">
        <v>4</v>
      </c>
      <c r="AC5" s="13">
        <v>3</v>
      </c>
      <c r="AD5" s="2">
        <v>2</v>
      </c>
      <c r="AE5" s="31">
        <f t="shared" si="8"/>
        <v>1</v>
      </c>
      <c r="AF5" s="1"/>
      <c r="AG5" s="31">
        <f t="shared" si="9"/>
        <v>0</v>
      </c>
      <c r="AH5" s="1">
        <v>1</v>
      </c>
      <c r="AI5" s="31">
        <f t="shared" si="10"/>
        <v>0.25</v>
      </c>
      <c r="AJ5" s="1">
        <v>1</v>
      </c>
      <c r="AK5" s="70">
        <f t="shared" si="11"/>
        <v>0.33333333333333331</v>
      </c>
      <c r="AL5" s="11">
        <f t="shared" si="12"/>
        <v>7</v>
      </c>
      <c r="AM5" s="12">
        <f t="shared" si="12"/>
        <v>6</v>
      </c>
      <c r="AN5" s="12">
        <v>5</v>
      </c>
      <c r="AO5" s="13">
        <v>4</v>
      </c>
      <c r="AP5" s="65">
        <f t="shared" si="13"/>
        <v>6</v>
      </c>
      <c r="AQ5" s="32">
        <f t="shared" si="14"/>
        <v>0.8571428571428571</v>
      </c>
      <c r="AR5" s="1">
        <f t="shared" si="13"/>
        <v>2</v>
      </c>
      <c r="AS5" s="32">
        <f t="shared" si="15"/>
        <v>0.33333333333333331</v>
      </c>
      <c r="AT5" s="1">
        <f t="shared" si="13"/>
        <v>2</v>
      </c>
      <c r="AU5" s="32">
        <f t="shared" si="16"/>
        <v>0.4</v>
      </c>
      <c r="AV5" s="1">
        <f t="shared" si="13"/>
        <v>2</v>
      </c>
      <c r="AW5" s="69">
        <f t="shared" si="17"/>
        <v>0.5</v>
      </c>
      <c r="AX5" s="98">
        <v>45125</v>
      </c>
    </row>
    <row r="6" spans="1:50" x14ac:dyDescent="0.3">
      <c r="A6" s="71" t="s">
        <v>94</v>
      </c>
      <c r="B6" s="11">
        <v>2</v>
      </c>
      <c r="C6" s="12">
        <v>1</v>
      </c>
      <c r="D6" s="12">
        <v>1</v>
      </c>
      <c r="E6" s="13">
        <v>1</v>
      </c>
      <c r="F6" s="2">
        <v>0</v>
      </c>
      <c r="G6" s="31">
        <f t="shared" ref="G6" si="18">F6/B6</f>
        <v>0</v>
      </c>
      <c r="H6" s="1">
        <v>0</v>
      </c>
      <c r="I6" s="31">
        <f t="shared" ref="I6" si="19">H6/C6</f>
        <v>0</v>
      </c>
      <c r="J6" s="1"/>
      <c r="K6" s="31">
        <f t="shared" ref="K6" si="20">J6/D6</f>
        <v>0</v>
      </c>
      <c r="L6" s="52">
        <v>1</v>
      </c>
      <c r="M6" s="70">
        <f t="shared" ref="M6" si="21">L6/E6</f>
        <v>1</v>
      </c>
      <c r="N6" s="11">
        <v>2</v>
      </c>
      <c r="O6" s="12">
        <v>2</v>
      </c>
      <c r="P6" s="12">
        <v>1</v>
      </c>
      <c r="Q6" s="13">
        <v>1</v>
      </c>
      <c r="R6" s="2">
        <v>7</v>
      </c>
      <c r="S6" s="31">
        <f t="shared" ref="S6" si="22">R6/N6</f>
        <v>3.5</v>
      </c>
      <c r="T6" s="1">
        <v>1</v>
      </c>
      <c r="U6" s="31">
        <f t="shared" ref="U6" si="23">T6/O6</f>
        <v>0.5</v>
      </c>
      <c r="V6" s="1"/>
      <c r="W6" s="31">
        <f t="shared" ref="W6" si="24">V6/P6</f>
        <v>0</v>
      </c>
      <c r="X6" s="1"/>
      <c r="Y6" s="70">
        <f t="shared" ref="Y6" si="25">X6/Q6</f>
        <v>0</v>
      </c>
      <c r="Z6" s="11">
        <v>3</v>
      </c>
      <c r="AA6" s="12">
        <v>2</v>
      </c>
      <c r="AB6" s="12">
        <v>7</v>
      </c>
      <c r="AC6" s="13">
        <v>5</v>
      </c>
      <c r="AD6" s="2">
        <v>9</v>
      </c>
      <c r="AE6" s="31">
        <f t="shared" ref="AE6" si="26">AD6/Z6</f>
        <v>3</v>
      </c>
      <c r="AF6" s="1">
        <v>3</v>
      </c>
      <c r="AG6" s="31">
        <f t="shared" ref="AG6" si="27">AF6/AA6</f>
        <v>1.5</v>
      </c>
      <c r="AH6" s="1">
        <v>5</v>
      </c>
      <c r="AI6" s="31">
        <f t="shared" ref="AI6" si="28">AH6/AB6</f>
        <v>0.7142857142857143</v>
      </c>
      <c r="AJ6" s="1">
        <v>3</v>
      </c>
      <c r="AK6" s="70">
        <f t="shared" ref="AK6" si="29">AJ6/AC6</f>
        <v>0.6</v>
      </c>
      <c r="AL6" s="11">
        <f t="shared" ref="AL6" si="30">B6+N6+Z6</f>
        <v>7</v>
      </c>
      <c r="AM6" s="12">
        <f t="shared" ref="AM6" si="31">C6+O6+AA6</f>
        <v>5</v>
      </c>
      <c r="AN6" s="12">
        <v>8</v>
      </c>
      <c r="AO6" s="13">
        <v>7</v>
      </c>
      <c r="AP6" s="65">
        <f t="shared" ref="AP6" si="32">F6+R6+AD6</f>
        <v>16</v>
      </c>
      <c r="AQ6" s="32">
        <f t="shared" ref="AQ6" si="33">AP6/AL6</f>
        <v>2.2857142857142856</v>
      </c>
      <c r="AR6" s="1">
        <f t="shared" ref="AR6" si="34">H6+T6+AF6</f>
        <v>4</v>
      </c>
      <c r="AS6" s="32">
        <f t="shared" ref="AS6" si="35">AR6/AM6</f>
        <v>0.8</v>
      </c>
      <c r="AT6" s="1">
        <f t="shared" ref="AT6" si="36">J6+V6+AH6</f>
        <v>5</v>
      </c>
      <c r="AU6" s="32">
        <f t="shared" ref="AU6" si="37">AT6/AN6</f>
        <v>0.625</v>
      </c>
      <c r="AV6" s="1">
        <f t="shared" ref="AV6" si="38">L6+X6+AJ6</f>
        <v>4</v>
      </c>
      <c r="AW6" s="69">
        <f t="shared" ref="AW6" si="39">AV6/AO6</f>
        <v>0.5714285714285714</v>
      </c>
      <c r="AX6" s="86">
        <v>45133</v>
      </c>
    </row>
    <row r="7" spans="1:50" ht="15" thickBot="1" x14ac:dyDescent="0.35">
      <c r="A7" s="71" t="s">
        <v>85</v>
      </c>
      <c r="B7" s="72">
        <v>1</v>
      </c>
      <c r="C7" s="73">
        <v>1</v>
      </c>
      <c r="D7" s="73">
        <v>0</v>
      </c>
      <c r="E7" s="74">
        <v>0</v>
      </c>
      <c r="F7" s="75">
        <v>0</v>
      </c>
      <c r="G7" s="31">
        <f t="shared" si="0"/>
        <v>0</v>
      </c>
      <c r="H7" s="76">
        <v>0</v>
      </c>
      <c r="I7" s="31">
        <f t="shared" si="1"/>
        <v>0</v>
      </c>
      <c r="J7" s="76"/>
      <c r="K7" s="31" t="e">
        <f t="shared" si="2"/>
        <v>#DIV/0!</v>
      </c>
      <c r="L7" s="76"/>
      <c r="M7" s="70" t="e">
        <f t="shared" si="3"/>
        <v>#DIV/0!</v>
      </c>
      <c r="N7" s="72">
        <v>1</v>
      </c>
      <c r="O7" s="73">
        <v>1</v>
      </c>
      <c r="P7" s="73">
        <v>1</v>
      </c>
      <c r="Q7" s="74">
        <v>0</v>
      </c>
      <c r="R7" s="75">
        <v>3</v>
      </c>
      <c r="S7" s="31">
        <f t="shared" si="4"/>
        <v>3</v>
      </c>
      <c r="T7" s="76"/>
      <c r="U7" s="31">
        <f t="shared" si="5"/>
        <v>0</v>
      </c>
      <c r="V7" s="76"/>
      <c r="W7" s="31">
        <f t="shared" si="6"/>
        <v>0</v>
      </c>
      <c r="X7" s="76"/>
      <c r="Y7" s="70" t="e">
        <f t="shared" si="7"/>
        <v>#DIV/0!</v>
      </c>
      <c r="Z7" s="72">
        <v>2</v>
      </c>
      <c r="AA7" s="73">
        <v>2</v>
      </c>
      <c r="AB7" s="73">
        <v>2</v>
      </c>
      <c r="AC7" s="74">
        <v>2</v>
      </c>
      <c r="AD7" s="75">
        <v>2</v>
      </c>
      <c r="AE7" s="31">
        <f t="shared" si="8"/>
        <v>1</v>
      </c>
      <c r="AF7" s="76"/>
      <c r="AG7" s="31">
        <f t="shared" si="9"/>
        <v>0</v>
      </c>
      <c r="AH7" s="76">
        <v>1</v>
      </c>
      <c r="AI7" s="31">
        <f t="shared" si="10"/>
        <v>0.5</v>
      </c>
      <c r="AJ7" s="76"/>
      <c r="AK7" s="70">
        <f t="shared" si="11"/>
        <v>0</v>
      </c>
      <c r="AL7" s="11">
        <f t="shared" si="12"/>
        <v>4</v>
      </c>
      <c r="AM7" s="12">
        <f t="shared" si="12"/>
        <v>4</v>
      </c>
      <c r="AN7" s="12">
        <v>2</v>
      </c>
      <c r="AO7" s="13">
        <v>2</v>
      </c>
      <c r="AP7" s="65">
        <f t="shared" si="13"/>
        <v>5</v>
      </c>
      <c r="AQ7" s="32">
        <f t="shared" si="14"/>
        <v>1.25</v>
      </c>
      <c r="AR7" s="1">
        <f t="shared" si="13"/>
        <v>0</v>
      </c>
      <c r="AS7" s="32">
        <f t="shared" si="15"/>
        <v>0</v>
      </c>
      <c r="AT7" s="1">
        <f t="shared" si="13"/>
        <v>1</v>
      </c>
      <c r="AU7" s="32">
        <f t="shared" si="16"/>
        <v>0.5</v>
      </c>
      <c r="AV7" s="1">
        <f t="shared" si="13"/>
        <v>0</v>
      </c>
      <c r="AW7" s="69">
        <f t="shared" si="17"/>
        <v>0</v>
      </c>
      <c r="AX7" s="98">
        <v>45126</v>
      </c>
    </row>
    <row r="8" spans="1:50" ht="15" thickBot="1" x14ac:dyDescent="0.35">
      <c r="A8" s="77" t="s">
        <v>12</v>
      </c>
      <c r="B8" s="78">
        <f>SUM(B3:B7)</f>
        <v>13</v>
      </c>
      <c r="C8" s="79">
        <f>SUM(C3:C7)</f>
        <v>7</v>
      </c>
      <c r="D8" s="79">
        <f>SUM(D3:D7)</f>
        <v>3</v>
      </c>
      <c r="E8" s="80">
        <f>SUM(E3:E7)</f>
        <v>4</v>
      </c>
      <c r="F8" s="78">
        <f>SUM(F3:F7)</f>
        <v>11</v>
      </c>
      <c r="G8" s="81">
        <f>F8/B8</f>
        <v>0.84615384615384615</v>
      </c>
      <c r="H8" s="79">
        <f>SUM(H3:H7)</f>
        <v>0</v>
      </c>
      <c r="I8" s="81">
        <f>H8/C8</f>
        <v>0</v>
      </c>
      <c r="J8" s="79">
        <f>SUM(J3:J7)</f>
        <v>4</v>
      </c>
      <c r="K8" s="81">
        <f>J8/D8</f>
        <v>1.3333333333333333</v>
      </c>
      <c r="L8" s="79">
        <f>SUM(L3:L7)</f>
        <v>6</v>
      </c>
      <c r="M8" s="81">
        <f>L8/E8</f>
        <v>1.5</v>
      </c>
      <c r="N8" s="78">
        <f>SUM(N3:N7)</f>
        <v>14</v>
      </c>
      <c r="O8" s="79">
        <f>SUM(O3:O7)</f>
        <v>10</v>
      </c>
      <c r="P8" s="79">
        <f>SUM(P3:P7)</f>
        <v>10</v>
      </c>
      <c r="Q8" s="80">
        <f>SUM(Q3:Q7)</f>
        <v>8</v>
      </c>
      <c r="R8" s="78">
        <f>SUM(R3:R7)</f>
        <v>37</v>
      </c>
      <c r="S8" s="81">
        <f>R8/N8</f>
        <v>2.6428571428571428</v>
      </c>
      <c r="T8" s="79">
        <f>SUM(T3:T7)</f>
        <v>4</v>
      </c>
      <c r="U8" s="81">
        <f>T8/O8</f>
        <v>0.4</v>
      </c>
      <c r="V8" s="79">
        <f>SUM(V3:V7)</f>
        <v>2</v>
      </c>
      <c r="W8" s="81">
        <f>V8/P8</f>
        <v>0.2</v>
      </c>
      <c r="X8" s="79">
        <f>SUM(X3:X7)</f>
        <v>3</v>
      </c>
      <c r="Y8" s="81">
        <f>X8/Q8</f>
        <v>0.375</v>
      </c>
      <c r="Z8" s="78">
        <f>SUM(Z3:Z7)</f>
        <v>18</v>
      </c>
      <c r="AA8" s="79">
        <f>SUM(AA3:AA7)</f>
        <v>12</v>
      </c>
      <c r="AB8" s="79">
        <f>SUM(AB3:AB7)</f>
        <v>32</v>
      </c>
      <c r="AC8" s="80">
        <f>SUM(AC3:AC7)</f>
        <v>26</v>
      </c>
      <c r="AD8" s="78">
        <f>SUM(AD3:AD7)</f>
        <v>56</v>
      </c>
      <c r="AE8" s="81">
        <f>AD8/Z8</f>
        <v>3.1111111111111112</v>
      </c>
      <c r="AF8" s="79">
        <f>SUM(AF3:AF7)</f>
        <v>4</v>
      </c>
      <c r="AG8" s="81">
        <f>AF8/AA8</f>
        <v>0.33333333333333331</v>
      </c>
      <c r="AH8" s="79">
        <f>SUM(AH3:AH7)</f>
        <v>22</v>
      </c>
      <c r="AI8" s="81">
        <f>AH8/AB8</f>
        <v>0.6875</v>
      </c>
      <c r="AJ8" s="79">
        <f>SUM(AJ3:AJ7)</f>
        <v>17</v>
      </c>
      <c r="AK8" s="81">
        <f>AJ8/AC8</f>
        <v>0.65384615384615385</v>
      </c>
      <c r="AL8" s="18">
        <f>SUM(AL3:AL7)</f>
        <v>45</v>
      </c>
      <c r="AM8" s="19">
        <f>SUM(AM3:AM7)</f>
        <v>29</v>
      </c>
      <c r="AN8" s="19">
        <f>SUM(AN3:AN7)</f>
        <v>39</v>
      </c>
      <c r="AO8" s="20">
        <f>SUM(AO3:AO7)</f>
        <v>33</v>
      </c>
      <c r="AP8" s="67">
        <f>SUM(AP3:AP7)</f>
        <v>104</v>
      </c>
      <c r="AQ8" s="21">
        <f>AP8-AL8</f>
        <v>59</v>
      </c>
      <c r="AR8" s="19">
        <f>SUM(AR3:AR7)</f>
        <v>8</v>
      </c>
      <c r="AS8" s="21">
        <f>AR8-AM8</f>
        <v>-21</v>
      </c>
      <c r="AT8" s="19">
        <f>SUM(AT3:AT7)</f>
        <v>28</v>
      </c>
      <c r="AU8" s="21">
        <f>AT8/AN8</f>
        <v>0.71794871794871795</v>
      </c>
      <c r="AV8" s="19">
        <f>SUM(AV3:AV7)</f>
        <v>26</v>
      </c>
      <c r="AW8" s="22">
        <f>AV8/AO8</f>
        <v>0.78787878787878785</v>
      </c>
      <c r="AX8" s="87"/>
    </row>
    <row r="9" spans="1:50" x14ac:dyDescent="0.3">
      <c r="A9" s="29" t="s">
        <v>3</v>
      </c>
      <c r="B9" s="8">
        <v>3</v>
      </c>
      <c r="C9" s="9">
        <v>1</v>
      </c>
      <c r="D9" s="9">
        <v>1</v>
      </c>
      <c r="E9" s="10">
        <v>1</v>
      </c>
      <c r="F9" s="3">
        <v>4</v>
      </c>
      <c r="G9" s="31">
        <f t="shared" si="0"/>
        <v>1.3333333333333333</v>
      </c>
      <c r="H9" s="4">
        <v>0</v>
      </c>
      <c r="I9" s="31">
        <f t="shared" si="1"/>
        <v>0</v>
      </c>
      <c r="J9" s="4"/>
      <c r="K9" s="31">
        <f>J9/D9</f>
        <v>0</v>
      </c>
      <c r="L9" s="4"/>
      <c r="M9" s="70">
        <f t="shared" si="3"/>
        <v>0</v>
      </c>
      <c r="N9" s="8">
        <v>3</v>
      </c>
      <c r="O9" s="9">
        <v>2</v>
      </c>
      <c r="P9" s="9">
        <v>3</v>
      </c>
      <c r="Q9" s="10">
        <v>2</v>
      </c>
      <c r="R9" s="3">
        <v>7</v>
      </c>
      <c r="S9" s="31">
        <f t="shared" ref="S9:S11" si="40">R9/N9</f>
        <v>2.3333333333333335</v>
      </c>
      <c r="T9" s="4">
        <v>2</v>
      </c>
      <c r="U9" s="31">
        <f t="shared" ref="U9:U13" si="41">T9/O9</f>
        <v>1</v>
      </c>
      <c r="V9" s="4"/>
      <c r="W9" s="31">
        <f>V9/P9</f>
        <v>0</v>
      </c>
      <c r="X9" s="4"/>
      <c r="Y9" s="70">
        <f t="shared" ref="Y9:Y13" si="42">X9/Q9</f>
        <v>0</v>
      </c>
      <c r="Z9" s="8">
        <v>10</v>
      </c>
      <c r="AA9" s="9">
        <v>2</v>
      </c>
      <c r="AB9" s="9">
        <v>10</v>
      </c>
      <c r="AC9" s="10">
        <v>8</v>
      </c>
      <c r="AD9" s="3">
        <v>21</v>
      </c>
      <c r="AE9" s="31">
        <f t="shared" si="8"/>
        <v>2.1</v>
      </c>
      <c r="AF9" s="4"/>
      <c r="AG9" s="31">
        <f t="shared" ref="AG9:AG13" si="43">AF9/AA9</f>
        <v>0</v>
      </c>
      <c r="AH9" s="4">
        <v>10</v>
      </c>
      <c r="AI9" s="31">
        <f>AH9/AB9</f>
        <v>1</v>
      </c>
      <c r="AJ9" s="4">
        <v>8</v>
      </c>
      <c r="AK9" s="70">
        <f t="shared" ref="AK9:AK13" si="44">AJ9/AC9</f>
        <v>1</v>
      </c>
      <c r="AL9" s="11">
        <f t="shared" si="12"/>
        <v>16</v>
      </c>
      <c r="AM9" s="12">
        <f t="shared" si="12"/>
        <v>5</v>
      </c>
      <c r="AN9" s="12">
        <v>10</v>
      </c>
      <c r="AO9" s="13">
        <v>9</v>
      </c>
      <c r="AP9" s="65">
        <f t="shared" si="13"/>
        <v>32</v>
      </c>
      <c r="AQ9" s="32">
        <f t="shared" ref="AQ9:AQ11" si="45">AP9/AL9</f>
        <v>2</v>
      </c>
      <c r="AR9" s="1">
        <f t="shared" si="13"/>
        <v>2</v>
      </c>
      <c r="AS9" s="32">
        <f t="shared" ref="AS9:AS11" si="46">AR9/AM9</f>
        <v>0.4</v>
      </c>
      <c r="AT9" s="1">
        <f t="shared" si="13"/>
        <v>10</v>
      </c>
      <c r="AU9" s="32">
        <f>AT9/AN9</f>
        <v>1</v>
      </c>
      <c r="AV9" s="1">
        <f t="shared" si="13"/>
        <v>8</v>
      </c>
      <c r="AW9" s="69">
        <f t="shared" ref="AW9:AW11" si="47">AV9/AO9</f>
        <v>0.88888888888888884</v>
      </c>
      <c r="AX9" s="88">
        <v>45134</v>
      </c>
    </row>
    <row r="10" spans="1:50" x14ac:dyDescent="0.3">
      <c r="A10" s="30" t="s">
        <v>93</v>
      </c>
      <c r="B10" s="11">
        <v>2</v>
      </c>
      <c r="C10" s="12">
        <v>1</v>
      </c>
      <c r="D10" s="12">
        <v>1</v>
      </c>
      <c r="E10" s="13">
        <v>1</v>
      </c>
      <c r="F10" s="2">
        <v>1</v>
      </c>
      <c r="G10" s="31">
        <f t="shared" si="0"/>
        <v>0.5</v>
      </c>
      <c r="H10" s="1">
        <v>0</v>
      </c>
      <c r="I10" s="31">
        <f t="shared" si="1"/>
        <v>0</v>
      </c>
      <c r="J10" s="1"/>
      <c r="K10" s="31">
        <f t="shared" ref="K10:K13" si="48">J10/D10</f>
        <v>0</v>
      </c>
      <c r="L10" s="52">
        <v>2</v>
      </c>
      <c r="M10" s="70">
        <f t="shared" si="3"/>
        <v>2</v>
      </c>
      <c r="N10" s="11">
        <v>3</v>
      </c>
      <c r="O10" s="12">
        <v>2</v>
      </c>
      <c r="P10" s="12">
        <v>3</v>
      </c>
      <c r="Q10" s="13">
        <v>2</v>
      </c>
      <c r="R10" s="2">
        <v>7</v>
      </c>
      <c r="S10" s="31">
        <f t="shared" si="40"/>
        <v>2.3333333333333335</v>
      </c>
      <c r="T10" s="1">
        <v>1</v>
      </c>
      <c r="U10" s="31">
        <f t="shared" si="41"/>
        <v>0.5</v>
      </c>
      <c r="V10" s="1">
        <v>1</v>
      </c>
      <c r="W10" s="31">
        <f t="shared" ref="W10:W13" si="49">V10/P10</f>
        <v>0.33333333333333331</v>
      </c>
      <c r="X10" s="1"/>
      <c r="Y10" s="70">
        <f t="shared" si="42"/>
        <v>0</v>
      </c>
      <c r="Z10" s="11">
        <v>8</v>
      </c>
      <c r="AA10" s="12">
        <v>2</v>
      </c>
      <c r="AB10" s="12">
        <v>8</v>
      </c>
      <c r="AC10" s="13">
        <v>6</v>
      </c>
      <c r="AD10" s="2">
        <v>6</v>
      </c>
      <c r="AE10" s="31">
        <f t="shared" si="8"/>
        <v>0.75</v>
      </c>
      <c r="AF10" s="1">
        <v>2</v>
      </c>
      <c r="AG10" s="31">
        <f t="shared" si="43"/>
        <v>1</v>
      </c>
      <c r="AH10" s="1">
        <v>3</v>
      </c>
      <c r="AI10" s="31">
        <f t="shared" ref="AI10:AI13" si="50">AH10/AB10</f>
        <v>0.375</v>
      </c>
      <c r="AJ10" s="1">
        <v>3</v>
      </c>
      <c r="AK10" s="70">
        <f t="shared" si="44"/>
        <v>0.5</v>
      </c>
      <c r="AL10" s="11">
        <f t="shared" si="12"/>
        <v>13</v>
      </c>
      <c r="AM10" s="12">
        <f t="shared" si="12"/>
        <v>5</v>
      </c>
      <c r="AN10" s="12">
        <v>9</v>
      </c>
      <c r="AO10" s="13">
        <v>7</v>
      </c>
      <c r="AP10" s="65">
        <f t="shared" si="13"/>
        <v>14</v>
      </c>
      <c r="AQ10" s="32">
        <f t="shared" si="45"/>
        <v>1.0769230769230769</v>
      </c>
      <c r="AR10" s="1">
        <f t="shared" si="13"/>
        <v>3</v>
      </c>
      <c r="AS10" s="32">
        <f t="shared" si="46"/>
        <v>0.6</v>
      </c>
      <c r="AT10" s="1">
        <f t="shared" si="13"/>
        <v>4</v>
      </c>
      <c r="AU10" s="32">
        <f t="shared" ref="AU10:AU11" si="51">AT10/AN10</f>
        <v>0.44444444444444442</v>
      </c>
      <c r="AV10" s="1">
        <f t="shared" si="13"/>
        <v>5</v>
      </c>
      <c r="AW10" s="69">
        <f t="shared" si="47"/>
        <v>0.7142857142857143</v>
      </c>
      <c r="AX10" s="98">
        <v>45129</v>
      </c>
    </row>
    <row r="11" spans="1:50" ht="15" thickBot="1" x14ac:dyDescent="0.35">
      <c r="A11" s="71" t="s">
        <v>4</v>
      </c>
      <c r="B11" s="72">
        <v>2</v>
      </c>
      <c r="C11" s="73">
        <v>1</v>
      </c>
      <c r="D11" s="73">
        <v>1</v>
      </c>
      <c r="E11" s="74">
        <v>1</v>
      </c>
      <c r="F11" s="75">
        <v>1</v>
      </c>
      <c r="G11" s="31">
        <f t="shared" si="0"/>
        <v>0.5</v>
      </c>
      <c r="H11" s="76">
        <v>0</v>
      </c>
      <c r="I11" s="31">
        <f t="shared" si="1"/>
        <v>0</v>
      </c>
      <c r="J11" s="76">
        <v>1</v>
      </c>
      <c r="K11" s="31">
        <f t="shared" si="48"/>
        <v>1</v>
      </c>
      <c r="L11" s="76"/>
      <c r="M11" s="70">
        <f t="shared" si="3"/>
        <v>0</v>
      </c>
      <c r="N11" s="72">
        <v>2</v>
      </c>
      <c r="O11" s="73">
        <v>1</v>
      </c>
      <c r="P11" s="73">
        <v>1</v>
      </c>
      <c r="Q11" s="74">
        <v>1</v>
      </c>
      <c r="R11" s="75">
        <v>2</v>
      </c>
      <c r="S11" s="31">
        <f t="shared" si="40"/>
        <v>1</v>
      </c>
      <c r="T11" s="76"/>
      <c r="U11" s="31">
        <f t="shared" si="41"/>
        <v>0</v>
      </c>
      <c r="V11" s="76"/>
      <c r="W11" s="31">
        <f t="shared" si="49"/>
        <v>0</v>
      </c>
      <c r="X11" s="76"/>
      <c r="Y11" s="70">
        <f t="shared" si="42"/>
        <v>0</v>
      </c>
      <c r="Z11" s="72">
        <v>4</v>
      </c>
      <c r="AA11" s="73">
        <v>2</v>
      </c>
      <c r="AB11" s="73">
        <v>4</v>
      </c>
      <c r="AC11" s="74">
        <v>3</v>
      </c>
      <c r="AD11" s="75">
        <v>6</v>
      </c>
      <c r="AE11" s="31">
        <f t="shared" si="8"/>
        <v>1.5</v>
      </c>
      <c r="AF11" s="76"/>
      <c r="AG11" s="31">
        <f t="shared" si="43"/>
        <v>0</v>
      </c>
      <c r="AH11" s="76">
        <v>1</v>
      </c>
      <c r="AI11" s="31">
        <f t="shared" si="50"/>
        <v>0.25</v>
      </c>
      <c r="AJ11" s="76">
        <v>1</v>
      </c>
      <c r="AK11" s="70">
        <f t="shared" si="44"/>
        <v>0.33333333333333331</v>
      </c>
      <c r="AL11" s="11">
        <f t="shared" si="12"/>
        <v>8</v>
      </c>
      <c r="AM11" s="12">
        <f t="shared" si="12"/>
        <v>4</v>
      </c>
      <c r="AN11" s="12">
        <v>5</v>
      </c>
      <c r="AO11" s="13">
        <v>4</v>
      </c>
      <c r="AP11" s="65">
        <f t="shared" si="13"/>
        <v>9</v>
      </c>
      <c r="AQ11" s="32">
        <f t="shared" si="45"/>
        <v>1.125</v>
      </c>
      <c r="AR11" s="1">
        <f t="shared" si="13"/>
        <v>0</v>
      </c>
      <c r="AS11" s="32">
        <f t="shared" si="46"/>
        <v>0</v>
      </c>
      <c r="AT11" s="1">
        <f t="shared" si="13"/>
        <v>2</v>
      </c>
      <c r="AU11" s="32">
        <f t="shared" si="51"/>
        <v>0.4</v>
      </c>
      <c r="AV11" s="1">
        <f t="shared" si="13"/>
        <v>1</v>
      </c>
      <c r="AW11" s="69">
        <f t="shared" si="47"/>
        <v>0.25</v>
      </c>
      <c r="AX11" s="97">
        <v>45132</v>
      </c>
    </row>
    <row r="12" spans="1:50" ht="15" thickBot="1" x14ac:dyDescent="0.35">
      <c r="A12" s="82" t="s">
        <v>13</v>
      </c>
      <c r="B12" s="83">
        <f>SUM(B9:B11)</f>
        <v>7</v>
      </c>
      <c r="C12" s="84">
        <f t="shared" ref="C12:H12" si="52">SUM(C9:C11)</f>
        <v>3</v>
      </c>
      <c r="D12" s="84">
        <f t="shared" ref="D12" si="53">SUM(D9:D11)</f>
        <v>3</v>
      </c>
      <c r="E12" s="85">
        <f t="shared" si="52"/>
        <v>3</v>
      </c>
      <c r="F12" s="83">
        <f t="shared" si="52"/>
        <v>6</v>
      </c>
      <c r="G12" s="81">
        <f>F12/B12</f>
        <v>0.8571428571428571</v>
      </c>
      <c r="H12" s="84">
        <f t="shared" si="52"/>
        <v>0</v>
      </c>
      <c r="I12" s="81">
        <f t="shared" si="1"/>
        <v>0</v>
      </c>
      <c r="J12" s="84">
        <f t="shared" ref="J12" si="54">SUM(J9:J11)</f>
        <v>1</v>
      </c>
      <c r="K12" s="81">
        <f t="shared" si="48"/>
        <v>0.33333333333333331</v>
      </c>
      <c r="L12" s="84">
        <f t="shared" ref="L12" si="55">SUM(L9:L11)</f>
        <v>2</v>
      </c>
      <c r="M12" s="81">
        <f t="shared" si="3"/>
        <v>0.66666666666666663</v>
      </c>
      <c r="N12" s="83">
        <f>SUM(N9:N11)</f>
        <v>8</v>
      </c>
      <c r="O12" s="84">
        <f t="shared" ref="O12:R12" si="56">SUM(O9:O11)</f>
        <v>5</v>
      </c>
      <c r="P12" s="84">
        <f t="shared" si="56"/>
        <v>7</v>
      </c>
      <c r="Q12" s="85">
        <f t="shared" si="56"/>
        <v>5</v>
      </c>
      <c r="R12" s="83">
        <f t="shared" si="56"/>
        <v>16</v>
      </c>
      <c r="S12" s="81">
        <f>R12/N12</f>
        <v>2</v>
      </c>
      <c r="T12" s="84">
        <f t="shared" ref="T12" si="57">SUM(T9:T11)</f>
        <v>3</v>
      </c>
      <c r="U12" s="81">
        <f t="shared" si="41"/>
        <v>0.6</v>
      </c>
      <c r="V12" s="84">
        <f t="shared" ref="V12" si="58">SUM(V9:V11)</f>
        <v>1</v>
      </c>
      <c r="W12" s="81">
        <f t="shared" si="49"/>
        <v>0.14285714285714285</v>
      </c>
      <c r="X12" s="84">
        <f t="shared" ref="X12" si="59">SUM(X9:X11)</f>
        <v>0</v>
      </c>
      <c r="Y12" s="81">
        <f t="shared" si="42"/>
        <v>0</v>
      </c>
      <c r="Z12" s="83">
        <f>SUM(Z9:Z11)</f>
        <v>22</v>
      </c>
      <c r="AA12" s="84">
        <f>SUM(AA9:AA11)</f>
        <v>6</v>
      </c>
      <c r="AB12" s="84">
        <f>SUM(AB9:AB11)</f>
        <v>22</v>
      </c>
      <c r="AC12" s="85">
        <f t="shared" ref="AC12:AD12" si="60">SUM(AC9:AC11)</f>
        <v>17</v>
      </c>
      <c r="AD12" s="83">
        <f t="shared" si="60"/>
        <v>33</v>
      </c>
      <c r="AE12" s="81">
        <f>AD12/Z12</f>
        <v>1.5</v>
      </c>
      <c r="AF12" s="84">
        <f t="shared" ref="AF12" si="61">SUM(AF9:AF11)</f>
        <v>2</v>
      </c>
      <c r="AG12" s="81">
        <f t="shared" si="43"/>
        <v>0.33333333333333331</v>
      </c>
      <c r="AH12" s="84">
        <f t="shared" ref="AH12" si="62">SUM(AH9:AH11)</f>
        <v>14</v>
      </c>
      <c r="AI12" s="81">
        <f t="shared" si="50"/>
        <v>0.63636363636363635</v>
      </c>
      <c r="AJ12" s="84">
        <f t="shared" ref="AJ12" si="63">SUM(AJ9:AJ11)</f>
        <v>12</v>
      </c>
      <c r="AK12" s="81">
        <f t="shared" si="44"/>
        <v>0.70588235294117652</v>
      </c>
      <c r="AL12" s="83">
        <f>SUM(AL9:AL11)</f>
        <v>37</v>
      </c>
      <c r="AM12" s="84">
        <f>SUM(AM9:AM11)</f>
        <v>14</v>
      </c>
      <c r="AN12" s="84">
        <f>SUM(AN9:AN11)</f>
        <v>24</v>
      </c>
      <c r="AO12" s="85">
        <f t="shared" ref="AO12" si="64">SUM(AO9:AO11)</f>
        <v>20</v>
      </c>
      <c r="AP12" s="67">
        <f t="shared" ref="AP12" si="65">SUM(AP9:AP11)</f>
        <v>55</v>
      </c>
      <c r="AQ12" s="21">
        <f t="shared" ref="AQ12:AQ13" si="66">AP12-AL12</f>
        <v>18</v>
      </c>
      <c r="AR12" s="19">
        <f t="shared" ref="AR12" si="67">SUM(AR9:AR11)</f>
        <v>5</v>
      </c>
      <c r="AS12" s="21">
        <f t="shared" ref="AS12:AS13" si="68">AR12-AM12</f>
        <v>-9</v>
      </c>
      <c r="AT12" s="19">
        <f t="shared" ref="AT12" si="69">SUM(AT9:AT11)</f>
        <v>16</v>
      </c>
      <c r="AU12" s="21">
        <f>AT12-AN12</f>
        <v>-8</v>
      </c>
      <c r="AV12" s="19">
        <f t="shared" ref="AV12" si="70">SUM(AV9:AV11)</f>
        <v>14</v>
      </c>
      <c r="AW12" s="22">
        <f>AV12/AO12</f>
        <v>0.7</v>
      </c>
      <c r="AX12" s="87"/>
    </row>
    <row r="13" spans="1:50" ht="15" thickBot="1" x14ac:dyDescent="0.35">
      <c r="A13" s="23" t="s">
        <v>8</v>
      </c>
      <c r="B13" s="24">
        <f>SUM(B12+B8)</f>
        <v>20</v>
      </c>
      <c r="C13" s="25">
        <f>SUM(C12+C8)</f>
        <v>10</v>
      </c>
      <c r="D13" s="25">
        <f>SUM(D12+D8)</f>
        <v>6</v>
      </c>
      <c r="E13" s="26">
        <f>SUM(E12+E8)</f>
        <v>7</v>
      </c>
      <c r="F13" s="24">
        <f>SUM(F12+F8)</f>
        <v>17</v>
      </c>
      <c r="G13" s="81">
        <f>F13/B13</f>
        <v>0.85</v>
      </c>
      <c r="H13" s="25">
        <f>SUM(H12+H8)</f>
        <v>0</v>
      </c>
      <c r="I13" s="81">
        <f t="shared" si="1"/>
        <v>0</v>
      </c>
      <c r="J13" s="25">
        <f>SUM(J12+J8)</f>
        <v>5</v>
      </c>
      <c r="K13" s="81">
        <f t="shared" si="48"/>
        <v>0.83333333333333337</v>
      </c>
      <c r="L13" s="25">
        <f>SUM(L12+L8)</f>
        <v>8</v>
      </c>
      <c r="M13" s="81">
        <f t="shared" si="3"/>
        <v>1.1428571428571428</v>
      </c>
      <c r="N13" s="24">
        <f>SUM(N12+N8)</f>
        <v>22</v>
      </c>
      <c r="O13" s="25">
        <f>SUM(O12+O8)</f>
        <v>15</v>
      </c>
      <c r="P13" s="25">
        <f>SUM(P12+P8)</f>
        <v>17</v>
      </c>
      <c r="Q13" s="26">
        <f>SUM(Q12+Q8)</f>
        <v>13</v>
      </c>
      <c r="R13" s="24">
        <f>SUM(R12+R8)</f>
        <v>53</v>
      </c>
      <c r="S13" s="81">
        <f>R13/N13</f>
        <v>2.4090909090909092</v>
      </c>
      <c r="T13" s="25">
        <f>SUM(T12+T8)</f>
        <v>7</v>
      </c>
      <c r="U13" s="81">
        <f t="shared" si="41"/>
        <v>0.46666666666666667</v>
      </c>
      <c r="V13" s="25">
        <f>SUM(V12+V8)</f>
        <v>3</v>
      </c>
      <c r="W13" s="81">
        <f t="shared" si="49"/>
        <v>0.17647058823529413</v>
      </c>
      <c r="X13" s="25">
        <f>SUM(X12+X8)</f>
        <v>3</v>
      </c>
      <c r="Y13" s="81">
        <f t="shared" si="42"/>
        <v>0.23076923076923078</v>
      </c>
      <c r="Z13" s="24">
        <f t="shared" ref="Z13:AC13" si="71">SUM(Z12+Z8)</f>
        <v>40</v>
      </c>
      <c r="AA13" s="25">
        <f t="shared" si="71"/>
        <v>18</v>
      </c>
      <c r="AB13" s="25">
        <f t="shared" ref="AB13" si="72">SUM(AB12+AB8)</f>
        <v>54</v>
      </c>
      <c r="AC13" s="26">
        <f t="shared" si="71"/>
        <v>43</v>
      </c>
      <c r="AD13" s="24">
        <f>SUM(AD12+AD8)</f>
        <v>89</v>
      </c>
      <c r="AE13" s="81">
        <f>AD13/Z13</f>
        <v>2.2250000000000001</v>
      </c>
      <c r="AF13" s="25">
        <f>SUM(AF12+AF8)</f>
        <v>6</v>
      </c>
      <c r="AG13" s="81">
        <f t="shared" si="43"/>
        <v>0.33333333333333331</v>
      </c>
      <c r="AH13" s="25">
        <f>SUM(AH12+AH8)</f>
        <v>36</v>
      </c>
      <c r="AI13" s="81">
        <f t="shared" si="50"/>
        <v>0.66666666666666663</v>
      </c>
      <c r="AJ13" s="25">
        <f>SUM(AJ12+AJ8)</f>
        <v>29</v>
      </c>
      <c r="AK13" s="81">
        <f t="shared" si="44"/>
        <v>0.67441860465116277</v>
      </c>
      <c r="AL13" s="24">
        <f t="shared" ref="AL13:AO13" si="73">SUM(AL12+AL8)</f>
        <v>82</v>
      </c>
      <c r="AM13" s="25">
        <f t="shared" si="73"/>
        <v>43</v>
      </c>
      <c r="AN13" s="25">
        <f t="shared" si="73"/>
        <v>63</v>
      </c>
      <c r="AO13" s="26">
        <f t="shared" si="73"/>
        <v>53</v>
      </c>
      <c r="AP13" s="68">
        <f>SUM(AP12+AP8)</f>
        <v>159</v>
      </c>
      <c r="AQ13" s="27">
        <f t="shared" si="66"/>
        <v>77</v>
      </c>
      <c r="AR13" s="25">
        <f>SUM(AR12+AR8)</f>
        <v>13</v>
      </c>
      <c r="AS13" s="27">
        <f t="shared" si="68"/>
        <v>-30</v>
      </c>
      <c r="AT13" s="25">
        <f>SUM(AT12+AT8)</f>
        <v>44</v>
      </c>
      <c r="AU13" s="27">
        <f>AT13-AN13</f>
        <v>-19</v>
      </c>
      <c r="AV13" s="25">
        <f>SUM(AV12+AV8)</f>
        <v>40</v>
      </c>
      <c r="AW13" s="28">
        <f>AV13/AO13</f>
        <v>0.75471698113207553</v>
      </c>
      <c r="AX13" s="89"/>
    </row>
  </sheetData>
  <mergeCells count="10">
    <mergeCell ref="AD1:AK1"/>
    <mergeCell ref="AL1:AO1"/>
    <mergeCell ref="AP1:AW1"/>
    <mergeCell ref="AX1:AX2"/>
    <mergeCell ref="A1:A2"/>
    <mergeCell ref="B1:E1"/>
    <mergeCell ref="F1:M1"/>
    <mergeCell ref="N1:Q1"/>
    <mergeCell ref="R1:Y1"/>
    <mergeCell ref="Z1:AC1"/>
  </mergeCells>
  <conditionalFormatting sqref="G3:G7">
    <cfRule type="colorScale" priority="67">
      <colorScale>
        <cfvo type="min"/>
        <cfvo type="percentile" val="30"/>
        <color rgb="FFFF0000"/>
        <color rgb="FF00B050"/>
      </colorScale>
    </cfRule>
  </conditionalFormatting>
  <conditionalFormatting sqref="G9">
    <cfRule type="colorScale" priority="53">
      <colorScale>
        <cfvo type="min"/>
        <cfvo type="percentile" val="30"/>
        <color rgb="FFFF0000"/>
        <color rgb="FF00B050"/>
      </colorScale>
    </cfRule>
  </conditionalFormatting>
  <conditionalFormatting sqref="G10">
    <cfRule type="colorScale" priority="52">
      <colorScale>
        <cfvo type="min"/>
        <cfvo type="percentile" val="30"/>
        <color rgb="FFFF0000"/>
        <color rgb="FF00B050"/>
      </colorScale>
    </cfRule>
  </conditionalFormatting>
  <conditionalFormatting sqref="G11">
    <cfRule type="colorScale" priority="51">
      <colorScale>
        <cfvo type="min"/>
        <cfvo type="percentile" val="30"/>
        <color rgb="FFFF0000"/>
        <color rgb="FF00B050"/>
      </colorScale>
    </cfRule>
  </conditionalFormatting>
  <conditionalFormatting sqref="I3:I7 K3:K7">
    <cfRule type="colorScale" priority="69">
      <colorScale>
        <cfvo type="min"/>
        <cfvo type="percentile" val="90"/>
        <color rgb="FFFF0000"/>
        <color rgb="FF00B050"/>
      </colorScale>
    </cfRule>
  </conditionalFormatting>
  <conditionalFormatting sqref="I9:I11">
    <cfRule type="colorScale" priority="50">
      <colorScale>
        <cfvo type="min"/>
        <cfvo type="percentile" val="90"/>
        <color rgb="FFFF0000"/>
        <color rgb="FF00B050"/>
      </colorScale>
    </cfRule>
  </conditionalFormatting>
  <conditionalFormatting sqref="K9:K11">
    <cfRule type="colorScale" priority="64">
      <colorScale>
        <cfvo type="percentile" val="10"/>
        <cfvo type="percent" val="90"/>
        <color rgb="FFFF0000"/>
        <color rgb="FF00B050"/>
      </colorScale>
    </cfRule>
  </conditionalFormatting>
  <conditionalFormatting sqref="M3:M7">
    <cfRule type="colorScale" priority="73">
      <colorScale>
        <cfvo type="min"/>
        <cfvo type="percentile" val="90"/>
        <color rgb="FFFF0000"/>
        <color rgb="FF00B050"/>
      </colorScale>
    </cfRule>
  </conditionalFormatting>
  <conditionalFormatting sqref="M9:M11">
    <cfRule type="colorScale" priority="49">
      <colorScale>
        <cfvo type="min"/>
        <cfvo type="percentile" val="90"/>
        <color rgb="FFFF0000"/>
        <color rgb="FF00B050"/>
      </colorScale>
    </cfRule>
  </conditionalFormatting>
  <conditionalFormatting sqref="S3:S7">
    <cfRule type="colorScale" priority="75">
      <colorScale>
        <cfvo type="min"/>
        <cfvo type="percentile" val="30"/>
        <color rgb="FFFF0000"/>
        <color rgb="FF00B050"/>
      </colorScale>
    </cfRule>
  </conditionalFormatting>
  <conditionalFormatting sqref="S9">
    <cfRule type="colorScale" priority="17">
      <colorScale>
        <cfvo type="min"/>
        <cfvo type="percentile" val="30"/>
        <color rgb="FFFF0000"/>
        <color rgb="FF00B050"/>
      </colorScale>
    </cfRule>
  </conditionalFormatting>
  <conditionalFormatting sqref="S10">
    <cfRule type="colorScale" priority="16">
      <colorScale>
        <cfvo type="min"/>
        <cfvo type="percentile" val="30"/>
        <color rgb="FFFF0000"/>
        <color rgb="FF00B050"/>
      </colorScale>
    </cfRule>
  </conditionalFormatting>
  <conditionalFormatting sqref="S11">
    <cfRule type="colorScale" priority="15">
      <colorScale>
        <cfvo type="min"/>
        <cfvo type="percentile" val="30"/>
        <color rgb="FFFF0000"/>
        <color rgb="FF00B050"/>
      </colorScale>
    </cfRule>
  </conditionalFormatting>
  <conditionalFormatting sqref="U3:U7 W3:W7">
    <cfRule type="colorScale" priority="77">
      <colorScale>
        <cfvo type="min"/>
        <cfvo type="percentile" val="90"/>
        <color rgb="FFFF0000"/>
        <color rgb="FF00B050"/>
      </colorScale>
    </cfRule>
  </conditionalFormatting>
  <conditionalFormatting sqref="U9:U11">
    <cfRule type="colorScale" priority="14">
      <colorScale>
        <cfvo type="min"/>
        <cfvo type="percentile" val="90"/>
        <color rgb="FFFF0000"/>
        <color rgb="FF00B050"/>
      </colorScale>
    </cfRule>
  </conditionalFormatting>
  <conditionalFormatting sqref="W9:W11">
    <cfRule type="colorScale" priority="19">
      <colorScale>
        <cfvo type="percentile" val="10"/>
        <cfvo type="percent" val="90"/>
        <color rgb="FFFF0000"/>
        <color rgb="FF00B050"/>
      </colorScale>
    </cfRule>
  </conditionalFormatting>
  <conditionalFormatting sqref="Y3:Y7">
    <cfRule type="colorScale" priority="81">
      <colorScale>
        <cfvo type="min"/>
        <cfvo type="percentile" val="90"/>
        <color rgb="FFFF0000"/>
        <color rgb="FF00B050"/>
      </colorScale>
    </cfRule>
  </conditionalFormatting>
  <conditionalFormatting sqref="Y9:Y11">
    <cfRule type="colorScale" priority="13">
      <colorScale>
        <cfvo type="min"/>
        <cfvo type="percentile" val="90"/>
        <color rgb="FFFF0000"/>
        <color rgb="FF00B050"/>
      </colorScale>
    </cfRule>
  </conditionalFormatting>
  <conditionalFormatting sqref="AE3:AE7">
    <cfRule type="colorScale" priority="83">
      <colorScale>
        <cfvo type="min"/>
        <cfvo type="percentile" val="30"/>
        <color rgb="FFFF0000"/>
        <color rgb="FF00B050"/>
      </colorScale>
    </cfRule>
  </conditionalFormatting>
  <conditionalFormatting sqref="AE9">
    <cfRule type="colorScale" priority="3">
      <colorScale>
        <cfvo type="min"/>
        <cfvo type="percentile" val="30"/>
        <color rgb="FFFF0000"/>
        <color rgb="FF00B050"/>
      </colorScale>
    </cfRule>
  </conditionalFormatting>
  <conditionalFormatting sqref="AE10">
    <cfRule type="colorScale" priority="2">
      <colorScale>
        <cfvo type="min"/>
        <cfvo type="percentile" val="30"/>
        <color rgb="FFFF0000"/>
        <color rgb="FF00B050"/>
      </colorScale>
    </cfRule>
  </conditionalFormatting>
  <conditionalFormatting sqref="AE11">
    <cfRule type="colorScale" priority="1">
      <colorScale>
        <cfvo type="min"/>
        <cfvo type="percentile" val="30"/>
        <color rgb="FFFF0000"/>
        <color rgb="FF00B050"/>
      </colorScale>
    </cfRule>
  </conditionalFormatting>
  <conditionalFormatting sqref="AG3:AG7 AI3:AI7">
    <cfRule type="colorScale" priority="85">
      <colorScale>
        <cfvo type="min"/>
        <cfvo type="percentile" val="90"/>
        <color rgb="FFFF0000"/>
        <color rgb="FF00B050"/>
      </colorScale>
    </cfRule>
  </conditionalFormatting>
  <conditionalFormatting sqref="AG9:AG11">
    <cfRule type="colorScale" priority="5">
      <colorScale>
        <cfvo type="min"/>
        <cfvo type="percentile" val="90"/>
        <color rgb="FFFF0000"/>
        <color rgb="FF00B050"/>
      </colorScale>
    </cfRule>
  </conditionalFormatting>
  <conditionalFormatting sqref="AI9:AI11">
    <cfRule type="colorScale" priority="10">
      <colorScale>
        <cfvo type="percentile" val="10"/>
        <cfvo type="percent" val="90"/>
        <color rgb="FFFF0000"/>
        <color rgb="FF00B050"/>
      </colorScale>
    </cfRule>
  </conditionalFormatting>
  <conditionalFormatting sqref="AK3:AK7">
    <cfRule type="colorScale" priority="89">
      <colorScale>
        <cfvo type="min"/>
        <cfvo type="percentile" val="90"/>
        <color rgb="FFFF0000"/>
        <color rgb="FF00B050"/>
      </colorScale>
    </cfRule>
  </conditionalFormatting>
  <conditionalFormatting sqref="AK9:AK11">
    <cfRule type="colorScale" priority="4">
      <colorScale>
        <cfvo type="min"/>
        <cfvo type="percentile" val="90"/>
        <color rgb="FFFF0000"/>
        <color rgb="FF00B050"/>
      </colorScale>
    </cfRule>
  </conditionalFormatting>
  <conditionalFormatting sqref="AQ3:AQ7">
    <cfRule type="colorScale" priority="91">
      <colorScale>
        <cfvo type="min"/>
        <cfvo type="percentile" val="30"/>
        <color rgb="FFFF0000"/>
        <color rgb="FF00B050"/>
      </colorScale>
    </cfRule>
  </conditionalFormatting>
  <conditionalFormatting sqref="AQ9">
    <cfRule type="colorScale" priority="26">
      <colorScale>
        <cfvo type="min"/>
        <cfvo type="percentile" val="30"/>
        <color rgb="FFFF0000"/>
        <color rgb="FF00B050"/>
      </colorScale>
    </cfRule>
  </conditionalFormatting>
  <conditionalFormatting sqref="AQ10">
    <cfRule type="colorScale" priority="25">
      <colorScale>
        <cfvo type="min"/>
        <cfvo type="percentile" val="30"/>
        <color rgb="FFFF0000"/>
        <color rgb="FF00B050"/>
      </colorScale>
    </cfRule>
  </conditionalFormatting>
  <conditionalFormatting sqref="AQ11">
    <cfRule type="colorScale" priority="24">
      <colorScale>
        <cfvo type="min"/>
        <cfvo type="percentile" val="30"/>
        <color rgb="FFFF0000"/>
        <color rgb="FF00B050"/>
      </colorScale>
    </cfRule>
  </conditionalFormatting>
  <conditionalFormatting sqref="AS3:AS7 AU3:AU7">
    <cfRule type="colorScale" priority="93">
      <colorScale>
        <cfvo type="min"/>
        <cfvo type="percentile" val="90"/>
        <color rgb="FFFF0000"/>
        <color rgb="FF00B050"/>
      </colorScale>
    </cfRule>
  </conditionalFormatting>
  <conditionalFormatting sqref="AS9:AS11">
    <cfRule type="colorScale" priority="23">
      <colorScale>
        <cfvo type="min"/>
        <cfvo type="percentile" val="90"/>
        <color rgb="FFFF0000"/>
        <color rgb="FF00B050"/>
      </colorScale>
    </cfRule>
  </conditionalFormatting>
  <conditionalFormatting sqref="AU9:AU11">
    <cfRule type="colorScale" priority="28">
      <colorScale>
        <cfvo type="percentile" val="10"/>
        <cfvo type="percent" val="90"/>
        <color rgb="FFFF0000"/>
        <color rgb="FF00B050"/>
      </colorScale>
    </cfRule>
  </conditionalFormatting>
  <conditionalFormatting sqref="AW3:AW7">
    <cfRule type="colorScale" priority="97">
      <colorScale>
        <cfvo type="min"/>
        <cfvo type="percentile" val="90"/>
        <color rgb="FFFF0000"/>
        <color rgb="FF00B050"/>
      </colorScale>
    </cfRule>
  </conditionalFormatting>
  <conditionalFormatting sqref="AW9:AW11">
    <cfRule type="colorScale" priority="22">
      <colorScale>
        <cfvo type="min"/>
        <cfvo type="percentile" val="90"/>
        <color rgb="FFFF0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3ADC-B659-44E3-AABB-24215A3FEAE8}">
  <dimension ref="A1:H14"/>
  <sheetViews>
    <sheetView workbookViewId="0">
      <selection activeCell="G3" sqref="G3"/>
    </sheetView>
  </sheetViews>
  <sheetFormatPr defaultRowHeight="14.4" x14ac:dyDescent="0.3"/>
  <cols>
    <col min="1" max="1" width="13.88671875" bestFit="1" customWidth="1"/>
    <col min="2" max="2" width="5.44140625" bestFit="1" customWidth="1"/>
    <col min="4" max="4" width="6.77734375" bestFit="1" customWidth="1"/>
    <col min="5" max="5" width="5.44140625" bestFit="1" customWidth="1"/>
    <col min="7" max="7" width="6.77734375" bestFit="1" customWidth="1"/>
    <col min="8" max="8" width="15.88671875" bestFit="1" customWidth="1"/>
  </cols>
  <sheetData>
    <row r="1" spans="1:8" ht="15" thickBot="1" x14ac:dyDescent="0.35">
      <c r="A1" s="140" t="s">
        <v>91</v>
      </c>
      <c r="B1" s="141"/>
      <c r="C1" s="141"/>
      <c r="D1" s="141"/>
      <c r="E1" s="141"/>
      <c r="F1" s="141"/>
      <c r="G1" s="141"/>
      <c r="H1" s="141"/>
    </row>
    <row r="2" spans="1:8" x14ac:dyDescent="0.3">
      <c r="A2" s="132" t="s">
        <v>69</v>
      </c>
      <c r="B2" s="134" t="s">
        <v>89</v>
      </c>
      <c r="C2" s="135"/>
      <c r="D2" s="135"/>
      <c r="E2" s="134" t="s">
        <v>88</v>
      </c>
      <c r="F2" s="135"/>
      <c r="G2" s="135"/>
      <c r="H2" s="96" t="s">
        <v>92</v>
      </c>
    </row>
    <row r="3" spans="1:8" ht="15" thickBot="1" x14ac:dyDescent="0.35">
      <c r="A3" s="133"/>
      <c r="B3" s="14" t="s">
        <v>6</v>
      </c>
      <c r="C3" s="15" t="s">
        <v>9</v>
      </c>
      <c r="D3" s="15" t="s">
        <v>10</v>
      </c>
      <c r="E3" s="14" t="s">
        <v>6</v>
      </c>
      <c r="F3" s="15" t="s">
        <v>9</v>
      </c>
      <c r="G3" s="15" t="s">
        <v>10</v>
      </c>
      <c r="H3" s="6" t="s">
        <v>10</v>
      </c>
    </row>
    <row r="4" spans="1:8" x14ac:dyDescent="0.3">
      <c r="A4" s="29" t="s">
        <v>0</v>
      </c>
      <c r="B4" s="3">
        <v>5</v>
      </c>
      <c r="C4" s="4">
        <v>4</v>
      </c>
      <c r="D4" s="95">
        <v>0</v>
      </c>
      <c r="E4" s="3">
        <v>5</v>
      </c>
      <c r="F4" s="95">
        <v>0</v>
      </c>
      <c r="G4" s="4">
        <v>1</v>
      </c>
      <c r="H4" s="9">
        <v>12</v>
      </c>
    </row>
    <row r="5" spans="1:8" x14ac:dyDescent="0.3">
      <c r="A5" s="30" t="s">
        <v>1</v>
      </c>
      <c r="B5" s="2">
        <v>6</v>
      </c>
      <c r="C5" s="1">
        <v>4</v>
      </c>
      <c r="D5" s="1">
        <v>2</v>
      </c>
      <c r="E5" s="2">
        <v>4</v>
      </c>
      <c r="F5" s="92">
        <v>0</v>
      </c>
      <c r="G5" s="1">
        <v>2</v>
      </c>
      <c r="H5" s="12">
        <v>12</v>
      </c>
    </row>
    <row r="6" spans="1:8" x14ac:dyDescent="0.3">
      <c r="A6" s="30" t="s">
        <v>7</v>
      </c>
      <c r="B6" s="2">
        <v>2</v>
      </c>
      <c r="C6" s="92">
        <v>0</v>
      </c>
      <c r="D6" s="92">
        <v>0</v>
      </c>
      <c r="E6" s="2">
        <v>2</v>
      </c>
      <c r="F6" s="92">
        <v>0</v>
      </c>
      <c r="G6" s="1">
        <v>1</v>
      </c>
      <c r="H6" s="12">
        <v>5</v>
      </c>
    </row>
    <row r="7" spans="1:8" x14ac:dyDescent="0.3">
      <c r="A7" s="71" t="s">
        <v>2</v>
      </c>
      <c r="B7" s="2">
        <v>2</v>
      </c>
      <c r="C7" s="92">
        <v>0</v>
      </c>
      <c r="D7" s="92">
        <v>0</v>
      </c>
      <c r="E7" s="91">
        <v>0</v>
      </c>
      <c r="F7" s="92">
        <v>0</v>
      </c>
      <c r="G7" s="92">
        <v>0</v>
      </c>
      <c r="H7" s="12">
        <v>8</v>
      </c>
    </row>
    <row r="8" spans="1:8" ht="15" thickBot="1" x14ac:dyDescent="0.35">
      <c r="A8" s="71" t="s">
        <v>85</v>
      </c>
      <c r="B8" s="2" t="s">
        <v>90</v>
      </c>
      <c r="C8" s="1" t="s">
        <v>90</v>
      </c>
      <c r="D8" s="1" t="s">
        <v>90</v>
      </c>
      <c r="E8" s="93">
        <v>0</v>
      </c>
      <c r="F8" s="94">
        <v>0</v>
      </c>
      <c r="G8" s="94">
        <v>0</v>
      </c>
      <c r="H8" s="12">
        <v>2</v>
      </c>
    </row>
    <row r="9" spans="1:8" ht="15" thickBot="1" x14ac:dyDescent="0.35">
      <c r="A9" s="77" t="s">
        <v>12</v>
      </c>
      <c r="B9" s="18">
        <f>SUM(B4:B7)</f>
        <v>15</v>
      </c>
      <c r="C9" s="19">
        <f>SUM(C4:C7)</f>
        <v>8</v>
      </c>
      <c r="D9" s="19">
        <f>SUM(D4:D7)</f>
        <v>2</v>
      </c>
      <c r="E9" s="78">
        <f>SUM(E4:E8)</f>
        <v>11</v>
      </c>
      <c r="F9" s="79">
        <f>SUM(F4:F8)</f>
        <v>0</v>
      </c>
      <c r="G9" s="79">
        <f>SUM(G4:G8)</f>
        <v>4</v>
      </c>
      <c r="H9" s="19">
        <f>SUM(H4:H8)</f>
        <v>39</v>
      </c>
    </row>
    <row r="10" spans="1:8" x14ac:dyDescent="0.3">
      <c r="A10" s="29" t="s">
        <v>3</v>
      </c>
      <c r="B10" s="2">
        <v>5</v>
      </c>
      <c r="C10" s="1">
        <v>1</v>
      </c>
      <c r="D10" s="1">
        <v>1</v>
      </c>
      <c r="E10" s="3">
        <v>4</v>
      </c>
      <c r="F10" s="95">
        <v>0</v>
      </c>
      <c r="G10" s="95">
        <v>0</v>
      </c>
      <c r="H10" s="12">
        <v>10</v>
      </c>
    </row>
    <row r="11" spans="1:8" x14ac:dyDescent="0.3">
      <c r="A11" s="30" t="s">
        <v>5</v>
      </c>
      <c r="B11" s="2">
        <v>3</v>
      </c>
      <c r="C11" s="92">
        <v>0</v>
      </c>
      <c r="D11" s="92">
        <v>0</v>
      </c>
      <c r="E11" s="2">
        <v>1</v>
      </c>
      <c r="F11" s="92">
        <v>0</v>
      </c>
      <c r="G11" s="92">
        <v>0</v>
      </c>
      <c r="H11" s="12">
        <v>9</v>
      </c>
    </row>
    <row r="12" spans="1:8" ht="15" thickBot="1" x14ac:dyDescent="0.35">
      <c r="A12" s="71" t="s">
        <v>4</v>
      </c>
      <c r="B12" s="2">
        <v>2</v>
      </c>
      <c r="C12" s="1">
        <v>1</v>
      </c>
      <c r="D12" s="92">
        <v>0</v>
      </c>
      <c r="E12" s="75">
        <v>1</v>
      </c>
      <c r="F12" s="94">
        <v>0</v>
      </c>
      <c r="G12" s="76">
        <v>1</v>
      </c>
      <c r="H12" s="12">
        <v>5</v>
      </c>
    </row>
    <row r="13" spans="1:8" x14ac:dyDescent="0.3">
      <c r="A13" s="82" t="s">
        <v>13</v>
      </c>
      <c r="B13" s="18">
        <f t="shared" ref="B13:C13" si="0">SUM(B10:B12)</f>
        <v>10</v>
      </c>
      <c r="C13" s="19">
        <f t="shared" si="0"/>
        <v>2</v>
      </c>
      <c r="D13" s="19">
        <f t="shared" ref="D13" si="1">SUM(D10:D12)</f>
        <v>1</v>
      </c>
      <c r="E13" s="83">
        <f t="shared" ref="E13:F13" si="2">SUM(E10:E12)</f>
        <v>6</v>
      </c>
      <c r="F13" s="84">
        <f t="shared" si="2"/>
        <v>0</v>
      </c>
      <c r="G13" s="84">
        <f t="shared" ref="G13" si="3">SUM(G10:G12)</f>
        <v>1</v>
      </c>
      <c r="H13" s="84">
        <f>SUM(H10:H12)</f>
        <v>24</v>
      </c>
    </row>
    <row r="14" spans="1:8" ht="15" thickBot="1" x14ac:dyDescent="0.35">
      <c r="A14" s="23" t="s">
        <v>8</v>
      </c>
      <c r="B14" s="24">
        <f t="shared" ref="B14:G14" si="4">SUM(B13+B9)</f>
        <v>25</v>
      </c>
      <c r="C14" s="25">
        <f t="shared" si="4"/>
        <v>10</v>
      </c>
      <c r="D14" s="25">
        <f t="shared" si="4"/>
        <v>3</v>
      </c>
      <c r="E14" s="24">
        <f t="shared" si="4"/>
        <v>17</v>
      </c>
      <c r="F14" s="25">
        <f t="shared" si="4"/>
        <v>0</v>
      </c>
      <c r="G14" s="25">
        <f t="shared" si="4"/>
        <v>5</v>
      </c>
      <c r="H14" s="25">
        <f t="shared" ref="H14" si="5">SUM(H13+H9)</f>
        <v>63</v>
      </c>
    </row>
  </sheetData>
  <mergeCells count="4">
    <mergeCell ref="A2:A3"/>
    <mergeCell ref="E2:G2"/>
    <mergeCell ref="B2:D2"/>
    <mergeCell ref="A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1411-B048-4FF5-9745-2AD6042B0899}">
  <dimension ref="A1:N23"/>
  <sheetViews>
    <sheetView workbookViewId="0">
      <selection sqref="A1:N23"/>
    </sheetView>
  </sheetViews>
  <sheetFormatPr defaultRowHeight="14.4" x14ac:dyDescent="0.3"/>
  <cols>
    <col min="1" max="1" width="17.5546875" bestFit="1" customWidth="1"/>
    <col min="2" max="2" width="6.44140625" bestFit="1" customWidth="1"/>
    <col min="3" max="3" width="7.88671875" bestFit="1" customWidth="1"/>
    <col min="4" max="4" width="7.5546875" bestFit="1" customWidth="1"/>
    <col min="5" max="5" width="7.6640625" bestFit="1" customWidth="1"/>
    <col min="6" max="6" width="7.5546875" bestFit="1" customWidth="1"/>
    <col min="9" max="9" width="17.5546875" bestFit="1" customWidth="1"/>
    <col min="10" max="10" width="6.44140625" bestFit="1" customWidth="1"/>
    <col min="11" max="11" width="7.88671875" bestFit="1" customWidth="1"/>
    <col min="12" max="12" width="7.5546875" bestFit="1" customWidth="1"/>
    <col min="13" max="13" width="7.6640625" bestFit="1" customWidth="1"/>
    <col min="14" max="14" width="7.5546875" bestFit="1" customWidth="1"/>
    <col min="16" max="16" width="11" bestFit="1" customWidth="1"/>
  </cols>
  <sheetData>
    <row r="1" spans="1:14" x14ac:dyDescent="0.3">
      <c r="A1" s="142" t="s">
        <v>67</v>
      </c>
      <c r="B1" s="143"/>
      <c r="C1" s="143"/>
      <c r="D1" s="143"/>
      <c r="E1" s="143"/>
      <c r="F1" s="143"/>
      <c r="I1" s="142" t="s">
        <v>96</v>
      </c>
      <c r="J1" s="143"/>
      <c r="K1" s="143"/>
      <c r="L1" s="143"/>
      <c r="M1" s="143"/>
      <c r="N1" s="143"/>
    </row>
    <row r="2" spans="1:14" x14ac:dyDescent="0.3">
      <c r="A2" s="33" t="s">
        <v>28</v>
      </c>
      <c r="B2" s="33" t="s">
        <v>8</v>
      </c>
      <c r="C2" s="33" t="s">
        <v>27</v>
      </c>
      <c r="D2" s="33" t="s">
        <v>22</v>
      </c>
      <c r="E2" s="33" t="s">
        <v>25</v>
      </c>
      <c r="F2" s="33" t="s">
        <v>22</v>
      </c>
      <c r="I2" s="33" t="s">
        <v>28</v>
      </c>
      <c r="J2" s="33" t="s">
        <v>8</v>
      </c>
      <c r="K2" s="33" t="s">
        <v>27</v>
      </c>
      <c r="L2" s="33" t="s">
        <v>22</v>
      </c>
      <c r="M2" s="33" t="s">
        <v>25</v>
      </c>
      <c r="N2" s="33" t="s">
        <v>22</v>
      </c>
    </row>
    <row r="3" spans="1:14" x14ac:dyDescent="0.3">
      <c r="A3" s="43" t="s">
        <v>12</v>
      </c>
      <c r="B3" s="43">
        <v>3</v>
      </c>
      <c r="C3" s="43">
        <v>1</v>
      </c>
      <c r="D3" s="44">
        <f>C3/B3</f>
        <v>0.33333333333333331</v>
      </c>
      <c r="E3" s="43">
        <f>B3-C3</f>
        <v>2</v>
      </c>
      <c r="F3" s="44">
        <f>E3/B3</f>
        <v>0.66666666666666663</v>
      </c>
      <c r="I3" s="43" t="s">
        <v>12</v>
      </c>
      <c r="J3" s="43">
        <v>12</v>
      </c>
      <c r="K3" s="43">
        <v>6</v>
      </c>
      <c r="L3" s="44">
        <f>K3/J3</f>
        <v>0.5</v>
      </c>
      <c r="M3" s="43">
        <f>J3-K3</f>
        <v>6</v>
      </c>
      <c r="N3" s="44">
        <f>M3/J3</f>
        <v>0.5</v>
      </c>
    </row>
    <row r="4" spans="1:14" x14ac:dyDescent="0.3">
      <c r="A4" s="43" t="s">
        <v>16</v>
      </c>
      <c r="B4" s="43">
        <v>3</v>
      </c>
      <c r="C4" s="43">
        <v>1</v>
      </c>
      <c r="D4" s="44">
        <f t="shared" ref="D4:D11" si="0">C4/B4</f>
        <v>0.33333333333333331</v>
      </c>
      <c r="E4" s="43">
        <f t="shared" ref="E4:E11" si="1">B4-C4</f>
        <v>2</v>
      </c>
      <c r="F4" s="44">
        <f t="shared" ref="F4:F11" si="2">E4/B4</f>
        <v>0.66666666666666663</v>
      </c>
      <c r="I4" s="43" t="s">
        <v>16</v>
      </c>
      <c r="J4" s="43">
        <v>8</v>
      </c>
      <c r="K4" s="43">
        <v>4</v>
      </c>
      <c r="L4" s="44">
        <f t="shared" ref="L4" si="3">K4/J4</f>
        <v>0.5</v>
      </c>
      <c r="M4" s="43">
        <f t="shared" ref="M4" si="4">J4-K4</f>
        <v>4</v>
      </c>
      <c r="N4" s="44">
        <f t="shared" ref="N4" si="5">M4/J4</f>
        <v>0.5</v>
      </c>
    </row>
    <row r="5" spans="1:14" x14ac:dyDescent="0.3">
      <c r="A5" s="43" t="s">
        <v>19</v>
      </c>
      <c r="B5" s="43">
        <v>2</v>
      </c>
      <c r="C5" s="43">
        <v>1</v>
      </c>
      <c r="D5" s="44">
        <f>C5/B5</f>
        <v>0.5</v>
      </c>
      <c r="E5" s="43">
        <f>B5-C5</f>
        <v>1</v>
      </c>
      <c r="F5" s="44">
        <f>E5/B5</f>
        <v>0.5</v>
      </c>
      <c r="I5" s="43" t="s">
        <v>19</v>
      </c>
      <c r="J5" s="43">
        <v>5</v>
      </c>
      <c r="K5" s="43">
        <v>4</v>
      </c>
      <c r="L5" s="44">
        <f>K5/J5</f>
        <v>0.8</v>
      </c>
      <c r="M5" s="43">
        <f>J5-K5</f>
        <v>1</v>
      </c>
      <c r="N5" s="44">
        <f>M5/J5</f>
        <v>0.2</v>
      </c>
    </row>
    <row r="6" spans="1:14" x14ac:dyDescent="0.3">
      <c r="A6" s="34" t="s">
        <v>18</v>
      </c>
      <c r="B6" s="34">
        <v>8</v>
      </c>
      <c r="C6" s="34">
        <v>3</v>
      </c>
      <c r="D6" s="35">
        <f t="shared" si="0"/>
        <v>0.375</v>
      </c>
      <c r="E6" s="34">
        <f t="shared" si="1"/>
        <v>5</v>
      </c>
      <c r="F6" s="35">
        <f t="shared" si="2"/>
        <v>0.625</v>
      </c>
      <c r="I6" s="34" t="s">
        <v>18</v>
      </c>
      <c r="J6" s="34">
        <v>4</v>
      </c>
      <c r="K6" s="34">
        <v>0</v>
      </c>
      <c r="L6" s="35">
        <f t="shared" ref="L6:L7" si="6">K6/J6</f>
        <v>0</v>
      </c>
      <c r="M6" s="34">
        <f t="shared" ref="M6:M7" si="7">J6-K6</f>
        <v>4</v>
      </c>
      <c r="N6" s="35">
        <f t="shared" ref="N6:N7" si="8">M6/J6</f>
        <v>1</v>
      </c>
    </row>
    <row r="7" spans="1:14" x14ac:dyDescent="0.3">
      <c r="A7" s="34" t="s">
        <v>23</v>
      </c>
      <c r="B7" s="34">
        <v>3</v>
      </c>
      <c r="C7" s="34">
        <v>1</v>
      </c>
      <c r="D7" s="35">
        <f t="shared" si="0"/>
        <v>0.33333333333333331</v>
      </c>
      <c r="E7" s="34">
        <f t="shared" si="1"/>
        <v>2</v>
      </c>
      <c r="F7" s="35">
        <f t="shared" si="2"/>
        <v>0.66666666666666663</v>
      </c>
      <c r="I7" s="34" t="s">
        <v>23</v>
      </c>
      <c r="J7" s="34">
        <v>12</v>
      </c>
      <c r="K7" s="34">
        <v>5</v>
      </c>
      <c r="L7" s="35">
        <f t="shared" si="6"/>
        <v>0.41666666666666669</v>
      </c>
      <c r="M7" s="34">
        <f t="shared" si="7"/>
        <v>7</v>
      </c>
      <c r="N7" s="35">
        <f t="shared" si="8"/>
        <v>0.58333333333333337</v>
      </c>
    </row>
    <row r="8" spans="1:14" x14ac:dyDescent="0.3">
      <c r="A8" s="43" t="s">
        <v>24</v>
      </c>
      <c r="B8" s="43">
        <v>4</v>
      </c>
      <c r="C8" s="43">
        <v>0</v>
      </c>
      <c r="D8" s="44">
        <f>C8/B8</f>
        <v>0</v>
      </c>
      <c r="E8" s="43">
        <f>B8-C8</f>
        <v>4</v>
      </c>
      <c r="F8" s="44">
        <f>E8/B8</f>
        <v>1</v>
      </c>
      <c r="I8" s="43" t="s">
        <v>24</v>
      </c>
      <c r="J8" s="43">
        <v>20</v>
      </c>
      <c r="K8" s="43">
        <v>4</v>
      </c>
      <c r="L8" s="44">
        <f>K8/J8</f>
        <v>0.2</v>
      </c>
      <c r="M8" s="43">
        <f>J8-K8</f>
        <v>16</v>
      </c>
      <c r="N8" s="44">
        <f>M8/J8</f>
        <v>0.8</v>
      </c>
    </row>
    <row r="9" spans="1:14" x14ac:dyDescent="0.3">
      <c r="A9" s="43" t="s">
        <v>15</v>
      </c>
      <c r="B9" s="43">
        <v>2</v>
      </c>
      <c r="C9" s="43">
        <v>1</v>
      </c>
      <c r="D9" s="44">
        <f t="shared" si="0"/>
        <v>0.5</v>
      </c>
      <c r="E9" s="43">
        <f t="shared" si="1"/>
        <v>1</v>
      </c>
      <c r="F9" s="44">
        <f t="shared" si="2"/>
        <v>0.5</v>
      </c>
      <c r="I9" s="43" t="s">
        <v>15</v>
      </c>
      <c r="J9" s="43">
        <v>6</v>
      </c>
      <c r="K9" s="43">
        <v>3</v>
      </c>
      <c r="L9" s="44">
        <f t="shared" ref="L9:L11" si="9">K9/J9</f>
        <v>0.5</v>
      </c>
      <c r="M9" s="43">
        <f t="shared" ref="M9:M11" si="10">J9-K9</f>
        <v>3</v>
      </c>
      <c r="N9" s="44">
        <f t="shared" ref="N9:N11" si="11">M9/J9</f>
        <v>0.5</v>
      </c>
    </row>
    <row r="10" spans="1:14" x14ac:dyDescent="0.3">
      <c r="A10" s="90" t="s">
        <v>86</v>
      </c>
      <c r="B10" s="90"/>
      <c r="C10" s="90">
        <v>1</v>
      </c>
      <c r="D10" s="63"/>
      <c r="E10" s="90"/>
      <c r="F10" s="63"/>
      <c r="I10" s="90" t="s">
        <v>86</v>
      </c>
      <c r="J10" s="90"/>
      <c r="K10" s="90">
        <v>4</v>
      </c>
      <c r="L10" s="63"/>
      <c r="M10" s="90"/>
      <c r="N10" s="63"/>
    </row>
    <row r="11" spans="1:14" x14ac:dyDescent="0.3">
      <c r="A11" s="34" t="s">
        <v>8</v>
      </c>
      <c r="B11" s="34">
        <f>SUM(B3:B9)</f>
        <v>25</v>
      </c>
      <c r="C11" s="34">
        <f>SUM(C3:C9)</f>
        <v>8</v>
      </c>
      <c r="D11" s="35">
        <f t="shared" si="0"/>
        <v>0.32</v>
      </c>
      <c r="E11" s="34">
        <f t="shared" si="1"/>
        <v>17</v>
      </c>
      <c r="F11" s="35">
        <f t="shared" si="2"/>
        <v>0.68</v>
      </c>
      <c r="I11" s="34" t="s">
        <v>8</v>
      </c>
      <c r="J11" s="34">
        <f>SUM(J3:J10)</f>
        <v>67</v>
      </c>
      <c r="K11" s="34">
        <f>SUM(K3:K9)</f>
        <v>26</v>
      </c>
      <c r="L11" s="35">
        <f t="shared" si="9"/>
        <v>0.38805970149253732</v>
      </c>
      <c r="M11" s="34">
        <f t="shared" si="10"/>
        <v>41</v>
      </c>
      <c r="N11" s="35">
        <f t="shared" si="11"/>
        <v>0.61194029850746268</v>
      </c>
    </row>
    <row r="13" spans="1:14" x14ac:dyDescent="0.3">
      <c r="A13" s="142" t="s">
        <v>64</v>
      </c>
      <c r="B13" s="143"/>
      <c r="C13" s="143"/>
      <c r="D13" s="143"/>
      <c r="E13" s="143"/>
      <c r="F13" s="143"/>
      <c r="I13" s="142" t="s">
        <v>95</v>
      </c>
      <c r="J13" s="143"/>
      <c r="K13" s="143"/>
      <c r="L13" s="143"/>
      <c r="M13" s="143"/>
      <c r="N13" s="143"/>
    </row>
    <row r="14" spans="1:14" x14ac:dyDescent="0.3">
      <c r="A14" s="33" t="s">
        <v>28</v>
      </c>
      <c r="B14" s="33" t="s">
        <v>8</v>
      </c>
      <c r="C14" s="33" t="s">
        <v>27</v>
      </c>
      <c r="D14" s="33" t="s">
        <v>22</v>
      </c>
      <c r="E14" s="33" t="s">
        <v>25</v>
      </c>
      <c r="F14" s="33" t="s">
        <v>22</v>
      </c>
      <c r="I14" s="33" t="s">
        <v>28</v>
      </c>
      <c r="J14" s="33" t="s">
        <v>8</v>
      </c>
      <c r="K14" s="33" t="s">
        <v>27</v>
      </c>
      <c r="L14" s="33" t="s">
        <v>22</v>
      </c>
      <c r="M14" s="33" t="s">
        <v>25</v>
      </c>
      <c r="N14" s="33" t="s">
        <v>22</v>
      </c>
    </row>
    <row r="15" spans="1:14" x14ac:dyDescent="0.3">
      <c r="A15" s="43" t="s">
        <v>12</v>
      </c>
      <c r="B15" s="43">
        <v>4</v>
      </c>
      <c r="C15" s="43">
        <v>2</v>
      </c>
      <c r="D15" s="44">
        <f>C15/B15</f>
        <v>0.5</v>
      </c>
      <c r="E15" s="43">
        <f>B15-C15</f>
        <v>2</v>
      </c>
      <c r="F15" s="44">
        <f>E15/B15</f>
        <v>0.5</v>
      </c>
      <c r="I15" s="43" t="s">
        <v>12</v>
      </c>
      <c r="J15" s="43">
        <f t="shared" ref="J15:K22" si="12">B3+B15+J3</f>
        <v>19</v>
      </c>
      <c r="K15" s="43">
        <f t="shared" si="12"/>
        <v>9</v>
      </c>
      <c r="L15" s="44">
        <f>K15/J15</f>
        <v>0.47368421052631576</v>
      </c>
      <c r="M15" s="43">
        <f>J15-K15</f>
        <v>10</v>
      </c>
      <c r="N15" s="44">
        <f>M15/J15</f>
        <v>0.52631578947368418</v>
      </c>
    </row>
    <row r="16" spans="1:14" x14ac:dyDescent="0.3">
      <c r="A16" s="43" t="s">
        <v>16</v>
      </c>
      <c r="B16" s="43">
        <v>2</v>
      </c>
      <c r="C16" s="43">
        <v>1</v>
      </c>
      <c r="D16" s="44">
        <f t="shared" ref="D16" si="13">C16/B16</f>
        <v>0.5</v>
      </c>
      <c r="E16" s="43">
        <f t="shared" ref="E16" si="14">B16-C16</f>
        <v>1</v>
      </c>
      <c r="F16" s="44">
        <f t="shared" ref="F16" si="15">E16/B16</f>
        <v>0.5</v>
      </c>
      <c r="I16" s="43" t="s">
        <v>16</v>
      </c>
      <c r="J16" s="43">
        <f t="shared" si="12"/>
        <v>13</v>
      </c>
      <c r="K16" s="43">
        <f t="shared" si="12"/>
        <v>6</v>
      </c>
      <c r="L16" s="44">
        <f t="shared" ref="L16" si="16">K16/J16</f>
        <v>0.46153846153846156</v>
      </c>
      <c r="M16" s="43">
        <f t="shared" ref="M16" si="17">J16-K16</f>
        <v>7</v>
      </c>
      <c r="N16" s="44">
        <f t="shared" ref="N16" si="18">M16/J16</f>
        <v>0.53846153846153844</v>
      </c>
    </row>
    <row r="17" spans="1:14" x14ac:dyDescent="0.3">
      <c r="A17" s="43" t="s">
        <v>19</v>
      </c>
      <c r="B17" s="43">
        <v>2</v>
      </c>
      <c r="C17" s="43">
        <v>0</v>
      </c>
      <c r="D17" s="44">
        <f>C17/B17</f>
        <v>0</v>
      </c>
      <c r="E17" s="43">
        <f>B17-C17</f>
        <v>2</v>
      </c>
      <c r="F17" s="44">
        <f>E17/B17</f>
        <v>1</v>
      </c>
      <c r="I17" s="43" t="s">
        <v>19</v>
      </c>
      <c r="J17" s="43">
        <f t="shared" si="12"/>
        <v>9</v>
      </c>
      <c r="K17" s="43">
        <f t="shared" si="12"/>
        <v>5</v>
      </c>
      <c r="L17" s="44">
        <f>K17/J17</f>
        <v>0.55555555555555558</v>
      </c>
      <c r="M17" s="43">
        <f>J17-K17</f>
        <v>4</v>
      </c>
      <c r="N17" s="44">
        <f>M17/J17</f>
        <v>0.44444444444444442</v>
      </c>
    </row>
    <row r="18" spans="1:14" x14ac:dyDescent="0.3">
      <c r="A18" s="34" t="s">
        <v>18</v>
      </c>
      <c r="B18" s="34">
        <v>0</v>
      </c>
      <c r="C18" s="34">
        <v>0</v>
      </c>
      <c r="D18" s="35" t="e">
        <f t="shared" ref="D18:D19" si="19">C18/B18</f>
        <v>#DIV/0!</v>
      </c>
      <c r="E18" s="34">
        <f t="shared" ref="E18:E19" si="20">B18-C18</f>
        <v>0</v>
      </c>
      <c r="F18" s="35" t="e">
        <f t="shared" ref="F18:F19" si="21">E18/B18</f>
        <v>#DIV/0!</v>
      </c>
      <c r="I18" s="34" t="s">
        <v>18</v>
      </c>
      <c r="J18" s="90">
        <f t="shared" si="12"/>
        <v>12</v>
      </c>
      <c r="K18" s="90">
        <f t="shared" si="12"/>
        <v>3</v>
      </c>
      <c r="L18" s="35">
        <f t="shared" ref="L18:L19" si="22">K18/J18</f>
        <v>0.25</v>
      </c>
      <c r="M18" s="34">
        <f t="shared" ref="M18:M19" si="23">J18-K18</f>
        <v>9</v>
      </c>
      <c r="N18" s="35">
        <f t="shared" ref="N18:N19" si="24">M18/J18</f>
        <v>0.75</v>
      </c>
    </row>
    <row r="19" spans="1:14" x14ac:dyDescent="0.3">
      <c r="A19" s="34" t="s">
        <v>23</v>
      </c>
      <c r="B19" s="34">
        <v>3</v>
      </c>
      <c r="C19" s="34">
        <v>0</v>
      </c>
      <c r="D19" s="35">
        <f t="shared" si="19"/>
        <v>0</v>
      </c>
      <c r="E19" s="34">
        <f t="shared" si="20"/>
        <v>3</v>
      </c>
      <c r="F19" s="35">
        <f t="shared" si="21"/>
        <v>1</v>
      </c>
      <c r="I19" s="34" t="s">
        <v>23</v>
      </c>
      <c r="J19" s="90">
        <f t="shared" si="12"/>
        <v>18</v>
      </c>
      <c r="K19" s="90">
        <f t="shared" si="12"/>
        <v>6</v>
      </c>
      <c r="L19" s="35">
        <f t="shared" si="22"/>
        <v>0.33333333333333331</v>
      </c>
      <c r="M19" s="34">
        <f t="shared" si="23"/>
        <v>12</v>
      </c>
      <c r="N19" s="35">
        <f t="shared" si="24"/>
        <v>0.66666666666666663</v>
      </c>
    </row>
    <row r="20" spans="1:14" x14ac:dyDescent="0.3">
      <c r="A20" s="43" t="s">
        <v>24</v>
      </c>
      <c r="B20" s="43">
        <v>1</v>
      </c>
      <c r="C20" s="43">
        <v>0</v>
      </c>
      <c r="D20" s="44">
        <f>C20/B20</f>
        <v>0</v>
      </c>
      <c r="E20" s="43">
        <f>B20-C20</f>
        <v>1</v>
      </c>
      <c r="F20" s="44">
        <f>E20/B20</f>
        <v>1</v>
      </c>
      <c r="I20" s="43" t="s">
        <v>24</v>
      </c>
      <c r="J20" s="43">
        <f t="shared" si="12"/>
        <v>25</v>
      </c>
      <c r="K20" s="43">
        <f t="shared" si="12"/>
        <v>4</v>
      </c>
      <c r="L20" s="44">
        <f>K20/J20</f>
        <v>0.16</v>
      </c>
      <c r="M20" s="43">
        <f>J20-K20</f>
        <v>21</v>
      </c>
      <c r="N20" s="44">
        <f>M20/J20</f>
        <v>0.84</v>
      </c>
    </row>
    <row r="21" spans="1:14" x14ac:dyDescent="0.3">
      <c r="A21" s="43" t="s">
        <v>15</v>
      </c>
      <c r="B21" s="43">
        <v>2</v>
      </c>
      <c r="C21" s="43">
        <v>0</v>
      </c>
      <c r="D21" s="44">
        <f t="shared" ref="D21:D23" si="25">C21/B21</f>
        <v>0</v>
      </c>
      <c r="E21" s="43">
        <f t="shared" ref="E21:E23" si="26">B21-C21</f>
        <v>2</v>
      </c>
      <c r="F21" s="44">
        <f t="shared" ref="F21:F23" si="27">E21/B21</f>
        <v>1</v>
      </c>
      <c r="I21" s="43" t="s">
        <v>15</v>
      </c>
      <c r="J21" s="43">
        <f t="shared" si="12"/>
        <v>10</v>
      </c>
      <c r="K21" s="43">
        <f t="shared" si="12"/>
        <v>4</v>
      </c>
      <c r="L21" s="44">
        <f t="shared" ref="L21:L23" si="28">K21/J21</f>
        <v>0.4</v>
      </c>
      <c r="M21" s="43">
        <f t="shared" ref="M21:M23" si="29">J21-K21</f>
        <v>6</v>
      </c>
      <c r="N21" s="44">
        <f t="shared" ref="N21:N23" si="30">M21/J21</f>
        <v>0.6</v>
      </c>
    </row>
    <row r="22" spans="1:14" x14ac:dyDescent="0.3">
      <c r="A22" s="90" t="s">
        <v>86</v>
      </c>
      <c r="B22" s="90"/>
      <c r="C22" s="90"/>
      <c r="D22" s="63"/>
      <c r="E22" s="90"/>
      <c r="F22" s="63"/>
      <c r="I22" s="90" t="s">
        <v>86</v>
      </c>
      <c r="J22" s="90">
        <f t="shared" si="12"/>
        <v>0</v>
      </c>
      <c r="K22" s="90">
        <f t="shared" si="12"/>
        <v>5</v>
      </c>
      <c r="L22" s="35"/>
      <c r="M22" s="90">
        <f>E10+E22+M10</f>
        <v>0</v>
      </c>
      <c r="N22" s="63"/>
    </row>
    <row r="23" spans="1:14" x14ac:dyDescent="0.3">
      <c r="A23" s="34" t="s">
        <v>8</v>
      </c>
      <c r="B23" s="34">
        <f>SUM(B15:B22)</f>
        <v>14</v>
      </c>
      <c r="C23" s="34">
        <f>SUM(C15:C22)</f>
        <v>3</v>
      </c>
      <c r="D23" s="35">
        <f t="shared" si="25"/>
        <v>0.21428571428571427</v>
      </c>
      <c r="E23" s="34">
        <f t="shared" si="26"/>
        <v>11</v>
      </c>
      <c r="F23" s="35">
        <f t="shared" si="27"/>
        <v>0.7857142857142857</v>
      </c>
      <c r="I23" s="34" t="s">
        <v>8</v>
      </c>
      <c r="J23" s="34">
        <f>SUM(J15:J21)</f>
        <v>106</v>
      </c>
      <c r="K23" s="34">
        <f>SUM(K15:K21)</f>
        <v>37</v>
      </c>
      <c r="L23" s="35">
        <f t="shared" si="28"/>
        <v>0.34905660377358488</v>
      </c>
      <c r="M23" s="34">
        <f t="shared" si="29"/>
        <v>69</v>
      </c>
      <c r="N23" s="35">
        <f t="shared" si="30"/>
        <v>0.65094339622641506</v>
      </c>
    </row>
  </sheetData>
  <mergeCells count="4">
    <mergeCell ref="A1:F1"/>
    <mergeCell ref="A13:F13"/>
    <mergeCell ref="I1:N1"/>
    <mergeCell ref="I13:N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C2BF-AA83-40D6-85B1-09A2A008CCBD}">
  <dimension ref="A1:G23"/>
  <sheetViews>
    <sheetView workbookViewId="0">
      <selection activeCell="C20" sqref="C20"/>
    </sheetView>
  </sheetViews>
  <sheetFormatPr defaultRowHeight="14.4" x14ac:dyDescent="0.3"/>
  <cols>
    <col min="1" max="1" width="7.5546875" bestFit="1" customWidth="1"/>
  </cols>
  <sheetData>
    <row r="1" spans="1:7" x14ac:dyDescent="0.3">
      <c r="A1" s="144" t="s">
        <v>75</v>
      </c>
      <c r="B1" s="144"/>
      <c r="C1" s="144"/>
      <c r="D1" s="144"/>
      <c r="E1" s="144"/>
      <c r="F1" s="144"/>
      <c r="G1" s="144"/>
    </row>
    <row r="2" spans="1:7" x14ac:dyDescent="0.3">
      <c r="A2" s="145" t="s">
        <v>73</v>
      </c>
      <c r="B2" s="144" t="s">
        <v>74</v>
      </c>
      <c r="C2" s="144"/>
      <c r="D2" s="144"/>
      <c r="E2" s="144" t="s">
        <v>10</v>
      </c>
      <c r="F2" s="144"/>
      <c r="G2" s="144"/>
    </row>
    <row r="3" spans="1:7" x14ac:dyDescent="0.3">
      <c r="A3" s="146"/>
      <c r="B3" s="57" t="s">
        <v>76</v>
      </c>
      <c r="C3" s="57" t="s">
        <v>77</v>
      </c>
      <c r="D3" s="57" t="s">
        <v>22</v>
      </c>
      <c r="E3" s="57" t="s">
        <v>76</v>
      </c>
      <c r="F3" s="57" t="s">
        <v>77</v>
      </c>
      <c r="G3" s="57" t="s">
        <v>22</v>
      </c>
    </row>
    <row r="4" spans="1:7" x14ac:dyDescent="0.3">
      <c r="A4" s="56" t="s">
        <v>70</v>
      </c>
      <c r="B4" s="56">
        <v>35</v>
      </c>
      <c r="C4" s="56">
        <v>35</v>
      </c>
      <c r="D4" s="58">
        <f>C4/B4</f>
        <v>1</v>
      </c>
      <c r="E4" s="56">
        <v>30</v>
      </c>
      <c r="F4" s="56">
        <v>28</v>
      </c>
      <c r="G4" s="58">
        <f>F4/E4</f>
        <v>0.93333333333333335</v>
      </c>
    </row>
    <row r="5" spans="1:7" x14ac:dyDescent="0.3">
      <c r="A5" s="56" t="s">
        <v>71</v>
      </c>
      <c r="B5" s="56">
        <v>10</v>
      </c>
      <c r="C5" s="56">
        <v>10</v>
      </c>
      <c r="D5" s="58">
        <f>C5/B5</f>
        <v>1</v>
      </c>
      <c r="E5" s="56">
        <v>10</v>
      </c>
      <c r="F5" s="56">
        <v>8</v>
      </c>
      <c r="G5" s="58">
        <f>F5/E5</f>
        <v>0.8</v>
      </c>
    </row>
    <row r="6" spans="1:7" x14ac:dyDescent="0.3">
      <c r="A6" s="56" t="s">
        <v>72</v>
      </c>
      <c r="B6" s="56">
        <v>35</v>
      </c>
      <c r="C6" s="56">
        <v>35</v>
      </c>
      <c r="D6" s="58">
        <f>C6/B6</f>
        <v>1</v>
      </c>
      <c r="E6" s="56">
        <v>35</v>
      </c>
      <c r="F6" s="56">
        <v>23</v>
      </c>
      <c r="G6" s="58">
        <f>F6/E6</f>
        <v>0.65714285714285714</v>
      </c>
    </row>
    <row r="7" spans="1:7" x14ac:dyDescent="0.3">
      <c r="A7" s="59" t="s">
        <v>8</v>
      </c>
      <c r="B7" s="59">
        <f>SUM(B4:B6)</f>
        <v>80</v>
      </c>
      <c r="C7" s="59">
        <f>SUM(C4:C6)</f>
        <v>80</v>
      </c>
      <c r="D7" s="60">
        <f>C7/B7</f>
        <v>1</v>
      </c>
      <c r="E7" s="59">
        <f>SUM(E4:E6)</f>
        <v>75</v>
      </c>
      <c r="F7" s="59">
        <f>SUM(F4:F6)</f>
        <v>59</v>
      </c>
      <c r="G7" s="60">
        <f>F7/E7</f>
        <v>0.78666666666666663</v>
      </c>
    </row>
    <row r="9" spans="1:7" x14ac:dyDescent="0.3">
      <c r="A9" s="144" t="s">
        <v>82</v>
      </c>
      <c r="B9" s="144"/>
      <c r="C9" s="144"/>
      <c r="D9" s="144"/>
      <c r="E9" s="144"/>
      <c r="F9" s="144"/>
      <c r="G9" s="144"/>
    </row>
    <row r="10" spans="1:7" x14ac:dyDescent="0.3">
      <c r="A10" s="145" t="s">
        <v>73</v>
      </c>
      <c r="B10" s="144" t="s">
        <v>74</v>
      </c>
      <c r="C10" s="144"/>
      <c r="D10" s="144"/>
      <c r="E10" s="144" t="s">
        <v>10</v>
      </c>
      <c r="F10" s="144"/>
      <c r="G10" s="144"/>
    </row>
    <row r="11" spans="1:7" x14ac:dyDescent="0.3">
      <c r="A11" s="146"/>
      <c r="B11" s="57" t="s">
        <v>76</v>
      </c>
      <c r="C11" s="57" t="s">
        <v>77</v>
      </c>
      <c r="D11" s="57" t="s">
        <v>22</v>
      </c>
      <c r="E11" s="57" t="s">
        <v>76</v>
      </c>
      <c r="F11" s="57" t="s">
        <v>77</v>
      </c>
      <c r="G11" s="57" t="s">
        <v>22</v>
      </c>
    </row>
    <row r="12" spans="1:7" x14ac:dyDescent="0.3">
      <c r="A12" s="56" t="s">
        <v>70</v>
      </c>
      <c r="B12" s="56">
        <v>40</v>
      </c>
      <c r="C12" s="56">
        <v>45</v>
      </c>
      <c r="D12" s="58">
        <f>C12/B12</f>
        <v>1.125</v>
      </c>
      <c r="E12" s="56">
        <v>35</v>
      </c>
      <c r="F12" s="56">
        <v>36</v>
      </c>
      <c r="G12" s="58">
        <f>F12/E12</f>
        <v>1.0285714285714285</v>
      </c>
    </row>
    <row r="13" spans="1:7" x14ac:dyDescent="0.3">
      <c r="A13" s="56" t="s">
        <v>71</v>
      </c>
      <c r="B13" s="56">
        <v>10</v>
      </c>
      <c r="C13" s="56">
        <v>4</v>
      </c>
      <c r="D13" s="58">
        <f>C13/B13</f>
        <v>0.4</v>
      </c>
      <c r="E13" s="56">
        <v>15</v>
      </c>
      <c r="F13" s="56">
        <v>14</v>
      </c>
      <c r="G13" s="58">
        <f>F13/E13</f>
        <v>0.93333333333333335</v>
      </c>
    </row>
    <row r="14" spans="1:7" x14ac:dyDescent="0.3">
      <c r="A14" s="56" t="s">
        <v>72</v>
      </c>
      <c r="B14" s="56">
        <v>35</v>
      </c>
      <c r="C14" s="56">
        <v>36</v>
      </c>
      <c r="D14" s="58">
        <f>C14/B14</f>
        <v>1.0285714285714285</v>
      </c>
      <c r="E14" s="56">
        <v>30</v>
      </c>
      <c r="F14" s="56">
        <v>30</v>
      </c>
      <c r="G14" s="58">
        <f>F14/E14</f>
        <v>1</v>
      </c>
    </row>
    <row r="15" spans="1:7" x14ac:dyDescent="0.3">
      <c r="A15" s="59" t="s">
        <v>8</v>
      </c>
      <c r="B15" s="59">
        <f>SUM(B12:B14)</f>
        <v>85</v>
      </c>
      <c r="C15" s="59">
        <f>SUM(C12:C14)</f>
        <v>85</v>
      </c>
      <c r="D15" s="60">
        <f>C15/B15</f>
        <v>1</v>
      </c>
      <c r="E15" s="59">
        <f>SUM(E12:E14)</f>
        <v>80</v>
      </c>
      <c r="F15" s="59">
        <f>SUM(F12:F14)</f>
        <v>80</v>
      </c>
      <c r="G15" s="60">
        <f>F15/E15</f>
        <v>1</v>
      </c>
    </row>
    <row r="17" spans="1:7" x14ac:dyDescent="0.3">
      <c r="A17" s="144" t="s">
        <v>97</v>
      </c>
      <c r="B17" s="144"/>
      <c r="C17" s="144"/>
      <c r="D17" s="144"/>
      <c r="E17" s="144"/>
      <c r="F17" s="144"/>
      <c r="G17" s="144"/>
    </row>
    <row r="18" spans="1:7" x14ac:dyDescent="0.3">
      <c r="A18" s="145" t="s">
        <v>73</v>
      </c>
      <c r="B18" s="144" t="s">
        <v>74</v>
      </c>
      <c r="C18" s="144"/>
      <c r="D18" s="144"/>
      <c r="E18" s="144" t="s">
        <v>10</v>
      </c>
      <c r="F18" s="144"/>
      <c r="G18" s="144"/>
    </row>
    <row r="19" spans="1:7" x14ac:dyDescent="0.3">
      <c r="A19" s="146"/>
      <c r="B19" s="57" t="s">
        <v>76</v>
      </c>
      <c r="C19" s="57" t="s">
        <v>77</v>
      </c>
      <c r="D19" s="57" t="s">
        <v>22</v>
      </c>
      <c r="E19" s="57" t="s">
        <v>76</v>
      </c>
      <c r="F19" s="57" t="s">
        <v>77</v>
      </c>
      <c r="G19" s="57" t="s">
        <v>22</v>
      </c>
    </row>
    <row r="20" spans="1:7" x14ac:dyDescent="0.3">
      <c r="A20" s="56" t="s">
        <v>70</v>
      </c>
      <c r="B20" s="56"/>
      <c r="C20" s="56"/>
      <c r="D20" s="58" t="e">
        <f>C20/B20</f>
        <v>#DIV/0!</v>
      </c>
      <c r="E20" s="56">
        <v>50</v>
      </c>
      <c r="F20" s="56">
        <v>9</v>
      </c>
      <c r="G20" s="58">
        <f>F20/E20</f>
        <v>0.18</v>
      </c>
    </row>
    <row r="21" spans="1:7" x14ac:dyDescent="0.3">
      <c r="A21" s="56" t="s">
        <v>71</v>
      </c>
      <c r="B21" s="56"/>
      <c r="C21" s="56"/>
      <c r="D21" s="58" t="e">
        <f>C21/B21</f>
        <v>#DIV/0!</v>
      </c>
      <c r="E21" s="56">
        <v>25</v>
      </c>
      <c r="F21" s="56">
        <v>4</v>
      </c>
      <c r="G21" s="58">
        <f>F21/E21</f>
        <v>0.16</v>
      </c>
    </row>
    <row r="22" spans="1:7" x14ac:dyDescent="0.3">
      <c r="A22" s="56" t="s">
        <v>72</v>
      </c>
      <c r="B22" s="56"/>
      <c r="C22" s="56"/>
      <c r="D22" s="58" t="e">
        <f>C22/B22</f>
        <v>#DIV/0!</v>
      </c>
      <c r="E22" s="56">
        <v>50</v>
      </c>
      <c r="F22" s="56">
        <v>17</v>
      </c>
      <c r="G22" s="58">
        <f>F22/E22</f>
        <v>0.34</v>
      </c>
    </row>
    <row r="23" spans="1:7" x14ac:dyDescent="0.3">
      <c r="A23" s="59" t="s">
        <v>8</v>
      </c>
      <c r="B23" s="59">
        <f>SUM(B20:B22)</f>
        <v>0</v>
      </c>
      <c r="C23" s="59">
        <f>SUM(C20:C22)</f>
        <v>0</v>
      </c>
      <c r="D23" s="60" t="e">
        <f>C23/B23</f>
        <v>#DIV/0!</v>
      </c>
      <c r="E23" s="59">
        <f>SUM(E20:E22)</f>
        <v>125</v>
      </c>
      <c r="F23" s="59">
        <f>SUM(F20:F22)</f>
        <v>30</v>
      </c>
      <c r="G23" s="60">
        <f>F23/E23</f>
        <v>0.24</v>
      </c>
    </row>
  </sheetData>
  <mergeCells count="12">
    <mergeCell ref="A17:G17"/>
    <mergeCell ref="A18:A19"/>
    <mergeCell ref="B18:D18"/>
    <mergeCell ref="E18:G18"/>
    <mergeCell ref="A1:G1"/>
    <mergeCell ref="A2:A3"/>
    <mergeCell ref="A9:G9"/>
    <mergeCell ref="A10:A11"/>
    <mergeCell ref="B10:D10"/>
    <mergeCell ref="E10:G10"/>
    <mergeCell ref="B2:D2"/>
    <mergeCell ref="E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EC23-941B-4FE0-A455-64AB61491022}">
  <dimension ref="A1:AI1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6" sqref="H16"/>
    </sheetView>
  </sheetViews>
  <sheetFormatPr defaultRowHeight="14.4" x14ac:dyDescent="0.3"/>
  <cols>
    <col min="1" max="1" width="13.88671875" bestFit="1" customWidth="1"/>
    <col min="2" max="2" width="5.44140625" bestFit="1" customWidth="1"/>
    <col min="3" max="3" width="8.88671875" bestFit="1" customWidth="1"/>
    <col min="4" max="4" width="6.77734375" bestFit="1" customWidth="1"/>
    <col min="5" max="6" width="5.44140625" bestFit="1" customWidth="1"/>
    <col min="7" max="7" width="8.88671875" bestFit="1" customWidth="1"/>
    <col min="8" max="8" width="5.44140625" bestFit="1" customWidth="1"/>
    <col min="9" max="9" width="6.77734375" bestFit="1" customWidth="1"/>
    <col min="10" max="11" width="5.44140625" bestFit="1" customWidth="1"/>
    <col min="12" max="12" width="6.77734375" bestFit="1" customWidth="1"/>
    <col min="13" max="14" width="5.44140625" bestFit="1" customWidth="1"/>
    <col min="15" max="15" width="6.77734375" bestFit="1" customWidth="1"/>
    <col min="16" max="17" width="5.44140625" bestFit="1" customWidth="1"/>
    <col min="18" max="18" width="8.88671875" bestFit="1" customWidth="1"/>
    <col min="19" max="19" width="6.77734375" bestFit="1" customWidth="1"/>
    <col min="20" max="21" width="5.44140625" bestFit="1" customWidth="1"/>
    <col min="22" max="22" width="8.88671875" bestFit="1" customWidth="1"/>
    <col min="23" max="23" width="4.44140625" bestFit="1" customWidth="1"/>
    <col min="24" max="24" width="6.77734375" bestFit="1" customWidth="1"/>
    <col min="25" max="26" width="5.44140625" bestFit="1" customWidth="1"/>
    <col min="27" max="27" width="8.88671875" bestFit="1" customWidth="1"/>
    <col min="28" max="28" width="6.77734375" bestFit="1" customWidth="1"/>
    <col min="29" max="29" width="4.21875" bestFit="1" customWidth="1"/>
    <col min="30" max="30" width="5.44140625" bestFit="1" customWidth="1"/>
    <col min="31" max="31" width="6.77734375" bestFit="1" customWidth="1"/>
    <col min="32" max="32" width="4.44140625" bestFit="1" customWidth="1"/>
    <col min="33" max="33" width="3.109375" bestFit="1" customWidth="1"/>
    <col min="34" max="34" width="5.44140625" bestFit="1" customWidth="1"/>
    <col min="35" max="35" width="16.109375" bestFit="1" customWidth="1"/>
  </cols>
  <sheetData>
    <row r="1" spans="1:35" x14ac:dyDescent="0.3">
      <c r="A1" s="132" t="s">
        <v>69</v>
      </c>
      <c r="B1" s="125" t="s">
        <v>11</v>
      </c>
      <c r="C1" s="126"/>
      <c r="D1" s="127"/>
      <c r="E1" s="134" t="s">
        <v>81</v>
      </c>
      <c r="F1" s="135"/>
      <c r="G1" s="135"/>
      <c r="H1" s="135"/>
      <c r="I1" s="135"/>
      <c r="J1" s="149"/>
      <c r="K1" s="125" t="s">
        <v>66</v>
      </c>
      <c r="L1" s="127"/>
      <c r="M1" s="147" t="s">
        <v>80</v>
      </c>
      <c r="N1" s="148"/>
      <c r="O1" s="148"/>
      <c r="P1" s="152"/>
      <c r="Q1" s="125" t="s">
        <v>65</v>
      </c>
      <c r="R1" s="148"/>
      <c r="S1" s="127"/>
      <c r="T1" s="147" t="s">
        <v>79</v>
      </c>
      <c r="U1" s="148"/>
      <c r="V1" s="148"/>
      <c r="W1" s="148"/>
      <c r="X1" s="148"/>
      <c r="Y1" s="148"/>
      <c r="Z1" s="147" t="s">
        <v>78</v>
      </c>
      <c r="AA1" s="148"/>
      <c r="AB1" s="148"/>
      <c r="AC1" s="125" t="s">
        <v>61</v>
      </c>
      <c r="AD1" s="126"/>
      <c r="AE1" s="126"/>
      <c r="AF1" s="126"/>
      <c r="AG1" s="126"/>
      <c r="AH1" s="127"/>
      <c r="AI1" s="150" t="s">
        <v>68</v>
      </c>
    </row>
    <row r="2" spans="1:35" ht="15" thickBot="1" x14ac:dyDescent="0.35">
      <c r="A2" s="133"/>
      <c r="B2" s="5" t="s">
        <v>6</v>
      </c>
      <c r="C2" s="6" t="s">
        <v>9</v>
      </c>
      <c r="D2" s="7" t="s">
        <v>10</v>
      </c>
      <c r="E2" s="14" t="s">
        <v>6</v>
      </c>
      <c r="F2" s="15" t="s">
        <v>22</v>
      </c>
      <c r="G2" s="15" t="s">
        <v>9</v>
      </c>
      <c r="H2" s="15" t="s">
        <v>22</v>
      </c>
      <c r="I2" s="15" t="s">
        <v>10</v>
      </c>
      <c r="J2" s="16" t="s">
        <v>22</v>
      </c>
      <c r="K2" s="5" t="s">
        <v>6</v>
      </c>
      <c r="L2" s="7" t="s">
        <v>10</v>
      </c>
      <c r="M2" s="14" t="s">
        <v>6</v>
      </c>
      <c r="N2" s="15" t="s">
        <v>22</v>
      </c>
      <c r="O2" s="15" t="s">
        <v>10</v>
      </c>
      <c r="P2" s="15" t="s">
        <v>22</v>
      </c>
      <c r="Q2" s="5" t="s">
        <v>6</v>
      </c>
      <c r="R2" s="45" t="s">
        <v>9</v>
      </c>
      <c r="S2" s="7" t="s">
        <v>10</v>
      </c>
      <c r="T2" s="14" t="s">
        <v>6</v>
      </c>
      <c r="U2" s="15" t="s">
        <v>22</v>
      </c>
      <c r="V2" s="15" t="s">
        <v>9</v>
      </c>
      <c r="W2" s="15" t="s">
        <v>22</v>
      </c>
      <c r="X2" s="15" t="s">
        <v>10</v>
      </c>
      <c r="Y2" s="48" t="s">
        <v>22</v>
      </c>
      <c r="Z2" s="14" t="s">
        <v>6</v>
      </c>
      <c r="AA2" s="15" t="s">
        <v>9</v>
      </c>
      <c r="AB2" s="15" t="s">
        <v>10</v>
      </c>
      <c r="AC2" s="11" t="s">
        <v>62</v>
      </c>
      <c r="AD2" s="12" t="s">
        <v>6</v>
      </c>
      <c r="AE2" s="12" t="s">
        <v>10</v>
      </c>
      <c r="AF2" s="12" t="s">
        <v>22</v>
      </c>
      <c r="AG2" s="12" t="s">
        <v>63</v>
      </c>
      <c r="AH2" s="13" t="s">
        <v>22</v>
      </c>
      <c r="AI2" s="151"/>
    </row>
    <row r="3" spans="1:35" x14ac:dyDescent="0.3">
      <c r="A3" s="29" t="s">
        <v>0</v>
      </c>
      <c r="B3" s="8">
        <v>4</v>
      </c>
      <c r="C3" s="9">
        <v>2</v>
      </c>
      <c r="D3" s="10">
        <v>2</v>
      </c>
      <c r="E3" s="3">
        <v>5</v>
      </c>
      <c r="F3" s="31">
        <f>E3/B3</f>
        <v>1.25</v>
      </c>
      <c r="G3" s="4">
        <v>4</v>
      </c>
      <c r="H3" s="31">
        <f>G3/C3</f>
        <v>2</v>
      </c>
      <c r="I3" s="4">
        <v>0</v>
      </c>
      <c r="J3" s="31">
        <f>I3/D3</f>
        <v>0</v>
      </c>
      <c r="K3" s="8">
        <v>3</v>
      </c>
      <c r="L3" s="10">
        <v>4</v>
      </c>
      <c r="M3" s="3">
        <v>4</v>
      </c>
      <c r="N3" s="31">
        <f>M3/K3</f>
        <v>1.3333333333333333</v>
      </c>
      <c r="O3" s="4">
        <v>2</v>
      </c>
      <c r="P3" s="31">
        <f>O3/L3</f>
        <v>0.5</v>
      </c>
      <c r="Q3" s="8">
        <v>4</v>
      </c>
      <c r="R3" s="46">
        <v>3</v>
      </c>
      <c r="S3" s="10">
        <v>5</v>
      </c>
      <c r="T3" s="3">
        <v>4</v>
      </c>
      <c r="U3" s="31">
        <f>T3/Q3</f>
        <v>1</v>
      </c>
      <c r="V3" s="3">
        <v>1</v>
      </c>
      <c r="W3" s="31">
        <f>V3/R3</f>
        <v>0.33333333333333331</v>
      </c>
      <c r="X3" s="4">
        <v>6</v>
      </c>
      <c r="Y3" s="49">
        <f>X3/S3</f>
        <v>1.2</v>
      </c>
      <c r="Z3" s="3">
        <v>0</v>
      </c>
      <c r="AA3" s="3">
        <v>0</v>
      </c>
      <c r="AB3" s="4">
        <v>1</v>
      </c>
      <c r="AC3" s="11"/>
      <c r="AD3" s="12">
        <v>13</v>
      </c>
      <c r="AE3" s="12">
        <v>9</v>
      </c>
      <c r="AF3" s="51">
        <f t="shared" ref="AF3:AF12" si="0">AE3/AD3</f>
        <v>0.69230769230769229</v>
      </c>
      <c r="AG3" s="12">
        <v>8</v>
      </c>
      <c r="AH3" s="53">
        <f>AG3/AE3</f>
        <v>0.88888888888888884</v>
      </c>
      <c r="AI3" s="55">
        <v>45104</v>
      </c>
    </row>
    <row r="4" spans="1:35" x14ac:dyDescent="0.3">
      <c r="A4" s="30" t="s">
        <v>1</v>
      </c>
      <c r="B4" s="11">
        <v>4</v>
      </c>
      <c r="C4" s="12">
        <v>2</v>
      </c>
      <c r="D4" s="13">
        <v>2</v>
      </c>
      <c r="E4" s="2">
        <v>6</v>
      </c>
      <c r="F4" s="32">
        <f t="shared" ref="F4:F10" si="1">E4/B4</f>
        <v>1.5</v>
      </c>
      <c r="G4" s="1">
        <v>4</v>
      </c>
      <c r="H4" s="31">
        <f t="shared" ref="H4:H10" si="2">G4/C4</f>
        <v>2</v>
      </c>
      <c r="I4" s="1">
        <v>2</v>
      </c>
      <c r="J4" s="31">
        <f t="shared" ref="J4:J10" si="3">I4/D4</f>
        <v>1</v>
      </c>
      <c r="K4" s="11">
        <v>3</v>
      </c>
      <c r="L4" s="13">
        <v>2</v>
      </c>
      <c r="M4" s="2">
        <v>3</v>
      </c>
      <c r="N4" s="31">
        <f t="shared" ref="N4:N10" si="4">M4/K4</f>
        <v>1</v>
      </c>
      <c r="O4" s="1">
        <v>2</v>
      </c>
      <c r="P4" s="31">
        <f t="shared" ref="P4:P10" si="5">O4/L4</f>
        <v>1</v>
      </c>
      <c r="Q4" s="11">
        <v>4</v>
      </c>
      <c r="R4" s="47">
        <v>3</v>
      </c>
      <c r="S4" s="13">
        <v>4</v>
      </c>
      <c r="T4" s="2">
        <v>5</v>
      </c>
      <c r="U4" s="31">
        <f t="shared" ref="U4:U10" si="6">T4/Q4</f>
        <v>1.25</v>
      </c>
      <c r="V4" s="2">
        <v>2</v>
      </c>
      <c r="W4" s="31">
        <f t="shared" ref="W4:W10" si="7">V4/R4</f>
        <v>0.66666666666666663</v>
      </c>
      <c r="X4" s="1">
        <v>4</v>
      </c>
      <c r="Y4" s="49">
        <f t="shared" ref="Y4:Y10" si="8">X4/S4</f>
        <v>1</v>
      </c>
      <c r="Z4" s="2">
        <v>0</v>
      </c>
      <c r="AA4" s="2">
        <v>0</v>
      </c>
      <c r="AB4" s="1">
        <v>3</v>
      </c>
      <c r="AC4" s="11"/>
      <c r="AD4" s="12">
        <v>15</v>
      </c>
      <c r="AE4" s="12">
        <v>11</v>
      </c>
      <c r="AF4" s="51">
        <f t="shared" si="0"/>
        <v>0.73333333333333328</v>
      </c>
      <c r="AG4" s="52">
        <v>8</v>
      </c>
      <c r="AH4" s="53">
        <f t="shared" ref="AH4:AH10" si="9">AG4/AE4</f>
        <v>0.72727272727272729</v>
      </c>
      <c r="AI4" s="61">
        <v>45102</v>
      </c>
    </row>
    <row r="5" spans="1:35" x14ac:dyDescent="0.3">
      <c r="A5" s="30" t="s">
        <v>7</v>
      </c>
      <c r="B5" s="11">
        <v>2</v>
      </c>
      <c r="C5" s="12">
        <v>2</v>
      </c>
      <c r="D5" s="13">
        <v>2</v>
      </c>
      <c r="E5" s="2">
        <v>2</v>
      </c>
      <c r="F5" s="32">
        <f t="shared" si="1"/>
        <v>1</v>
      </c>
      <c r="G5" s="1">
        <v>0</v>
      </c>
      <c r="H5" s="31">
        <f t="shared" si="2"/>
        <v>0</v>
      </c>
      <c r="I5" s="1">
        <v>0</v>
      </c>
      <c r="J5" s="31">
        <f t="shared" si="3"/>
        <v>0</v>
      </c>
      <c r="K5" s="11">
        <v>3</v>
      </c>
      <c r="L5" s="13">
        <v>2</v>
      </c>
      <c r="M5" s="2">
        <v>0</v>
      </c>
      <c r="N5" s="31">
        <f t="shared" si="4"/>
        <v>0</v>
      </c>
      <c r="O5" s="1">
        <v>0</v>
      </c>
      <c r="P5" s="31">
        <f t="shared" si="5"/>
        <v>0</v>
      </c>
      <c r="Q5" s="11">
        <v>5</v>
      </c>
      <c r="R5" s="47">
        <v>2</v>
      </c>
      <c r="S5" s="13">
        <v>4</v>
      </c>
      <c r="T5" s="2">
        <v>1</v>
      </c>
      <c r="U5" s="31">
        <f t="shared" si="6"/>
        <v>0.2</v>
      </c>
      <c r="V5" s="2">
        <v>0</v>
      </c>
      <c r="W5" s="31">
        <f t="shared" si="7"/>
        <v>0</v>
      </c>
      <c r="X5" s="1">
        <v>2</v>
      </c>
      <c r="Y5" s="49">
        <f t="shared" si="8"/>
        <v>0.5</v>
      </c>
      <c r="Z5" s="2">
        <v>0</v>
      </c>
      <c r="AA5" s="2">
        <v>0</v>
      </c>
      <c r="AB5" s="1">
        <v>0</v>
      </c>
      <c r="AC5" s="11"/>
      <c r="AD5" s="12">
        <v>3</v>
      </c>
      <c r="AE5" s="12">
        <v>2</v>
      </c>
      <c r="AF5" s="51">
        <f t="shared" si="0"/>
        <v>0.66666666666666663</v>
      </c>
      <c r="AG5" s="12">
        <v>3</v>
      </c>
      <c r="AH5" s="53">
        <f t="shared" si="9"/>
        <v>1.5</v>
      </c>
      <c r="AI5" s="54">
        <v>45096</v>
      </c>
    </row>
    <row r="6" spans="1:35" x14ac:dyDescent="0.3">
      <c r="A6" s="30" t="s">
        <v>2</v>
      </c>
      <c r="B6" s="11">
        <v>2</v>
      </c>
      <c r="C6" s="12">
        <v>2</v>
      </c>
      <c r="D6" s="13">
        <v>2</v>
      </c>
      <c r="E6" s="2">
        <v>2</v>
      </c>
      <c r="F6" s="32">
        <f t="shared" si="1"/>
        <v>1</v>
      </c>
      <c r="G6" s="1">
        <v>0</v>
      </c>
      <c r="H6" s="31">
        <f t="shared" si="2"/>
        <v>0</v>
      </c>
      <c r="I6" s="1">
        <v>0</v>
      </c>
      <c r="J6" s="31">
        <f t="shared" si="3"/>
        <v>0</v>
      </c>
      <c r="K6" s="11">
        <v>2</v>
      </c>
      <c r="L6" s="13">
        <v>1</v>
      </c>
      <c r="M6" s="2">
        <v>2</v>
      </c>
      <c r="N6" s="31">
        <f t="shared" si="4"/>
        <v>1</v>
      </c>
      <c r="O6" s="1">
        <v>0</v>
      </c>
      <c r="P6" s="31">
        <f t="shared" si="5"/>
        <v>0</v>
      </c>
      <c r="Q6" s="11">
        <v>3</v>
      </c>
      <c r="R6" s="47">
        <v>3</v>
      </c>
      <c r="S6" s="13">
        <v>3</v>
      </c>
      <c r="T6" s="2">
        <v>2</v>
      </c>
      <c r="U6" s="31">
        <f t="shared" si="6"/>
        <v>0.66666666666666663</v>
      </c>
      <c r="V6" s="2">
        <v>1</v>
      </c>
      <c r="W6" s="31">
        <f t="shared" si="7"/>
        <v>0.33333333333333331</v>
      </c>
      <c r="X6" s="1">
        <v>0</v>
      </c>
      <c r="Y6" s="49">
        <f t="shared" si="8"/>
        <v>0</v>
      </c>
      <c r="Z6" s="2">
        <v>0</v>
      </c>
      <c r="AA6" s="2">
        <v>0</v>
      </c>
      <c r="AB6" s="1">
        <v>1</v>
      </c>
      <c r="AC6" s="11"/>
      <c r="AD6" s="12">
        <v>7</v>
      </c>
      <c r="AE6" s="12">
        <v>1</v>
      </c>
      <c r="AF6" s="51">
        <f t="shared" si="0"/>
        <v>0.14285714285714285</v>
      </c>
      <c r="AG6" s="12">
        <v>1</v>
      </c>
      <c r="AH6" s="53">
        <f t="shared" si="9"/>
        <v>1</v>
      </c>
      <c r="AI6" s="55">
        <v>45104</v>
      </c>
    </row>
    <row r="7" spans="1:35" x14ac:dyDescent="0.3">
      <c r="A7" s="17" t="s">
        <v>12</v>
      </c>
      <c r="B7" s="18">
        <f>SUM(B3:B6)</f>
        <v>12</v>
      </c>
      <c r="C7" s="19">
        <f>SUM(C3:C6)</f>
        <v>8</v>
      </c>
      <c r="D7" s="20">
        <f>SUM(D3:D6)</f>
        <v>8</v>
      </c>
      <c r="E7" s="18">
        <f>SUM(E3:E6)</f>
        <v>15</v>
      </c>
      <c r="F7" s="21">
        <f>E7/B7</f>
        <v>1.25</v>
      </c>
      <c r="G7" s="19">
        <f>SUM(G3:G6)</f>
        <v>8</v>
      </c>
      <c r="H7" s="21">
        <f>G7/C7</f>
        <v>1</v>
      </c>
      <c r="I7" s="19">
        <f>SUM(I3:I6)</f>
        <v>2</v>
      </c>
      <c r="J7" s="22">
        <f>I7/D7</f>
        <v>0.25</v>
      </c>
      <c r="K7" s="18">
        <f>SUM(K3:K6)</f>
        <v>11</v>
      </c>
      <c r="L7" s="20">
        <f>SUM(L3:L6)</f>
        <v>9</v>
      </c>
      <c r="M7" s="18">
        <f>SUM(M3:M6)</f>
        <v>9</v>
      </c>
      <c r="N7" s="21">
        <f>M7/K7</f>
        <v>0.81818181818181823</v>
      </c>
      <c r="O7" s="19">
        <f>SUM(O3:O6)</f>
        <v>4</v>
      </c>
      <c r="P7" s="21">
        <f>O7/L7</f>
        <v>0.44444444444444442</v>
      </c>
      <c r="Q7" s="18">
        <f t="shared" ref="Q7:T7" si="10">SUM(Q3:Q6)</f>
        <v>16</v>
      </c>
      <c r="R7" s="18">
        <f t="shared" si="10"/>
        <v>11</v>
      </c>
      <c r="S7" s="20">
        <f t="shared" si="10"/>
        <v>16</v>
      </c>
      <c r="T7" s="18">
        <f t="shared" si="10"/>
        <v>12</v>
      </c>
      <c r="U7" s="21">
        <f>T7/Q7</f>
        <v>0.75</v>
      </c>
      <c r="V7" s="18">
        <f>SUM(V3:V6)</f>
        <v>4</v>
      </c>
      <c r="W7" s="21">
        <f>V7/R7</f>
        <v>0.36363636363636365</v>
      </c>
      <c r="X7" s="18">
        <f>SUM(X3:X6)</f>
        <v>12</v>
      </c>
      <c r="Y7" s="50">
        <f>X7/S7</f>
        <v>0.75</v>
      </c>
      <c r="Z7" s="18">
        <f t="shared" ref="Z7" si="11">SUM(Z3:Z6)</f>
        <v>0</v>
      </c>
      <c r="AA7" s="18">
        <f>SUM(AA3:AA6)</f>
        <v>0</v>
      </c>
      <c r="AB7" s="18">
        <f>SUM(AB3:AB6)</f>
        <v>5</v>
      </c>
      <c r="AC7" s="18">
        <f>SUM(AC3:AC6)</f>
        <v>0</v>
      </c>
      <c r="AD7" s="19">
        <f>SUM(AD3:AD6)</f>
        <v>38</v>
      </c>
      <c r="AE7" s="19">
        <f>SUM(AE3:AE6)</f>
        <v>23</v>
      </c>
      <c r="AF7" s="21">
        <f t="shared" si="0"/>
        <v>0.60526315789473684</v>
      </c>
      <c r="AG7" s="19">
        <f>SUM(AG3:AG6)</f>
        <v>20</v>
      </c>
      <c r="AH7" s="22">
        <f>AG7/AE7</f>
        <v>0.86956521739130432</v>
      </c>
      <c r="AI7" s="20"/>
    </row>
    <row r="8" spans="1:35" x14ac:dyDescent="0.3">
      <c r="A8" s="30" t="s">
        <v>3</v>
      </c>
      <c r="B8" s="11">
        <v>4</v>
      </c>
      <c r="C8" s="12">
        <v>2</v>
      </c>
      <c r="D8" s="13">
        <v>2</v>
      </c>
      <c r="E8" s="2">
        <v>5</v>
      </c>
      <c r="F8" s="32">
        <f t="shared" si="1"/>
        <v>1.25</v>
      </c>
      <c r="G8" s="1">
        <v>1</v>
      </c>
      <c r="H8" s="31">
        <f t="shared" si="2"/>
        <v>0.5</v>
      </c>
      <c r="I8" s="1">
        <v>1</v>
      </c>
      <c r="J8" s="31">
        <f t="shared" si="3"/>
        <v>0.5</v>
      </c>
      <c r="K8" s="11">
        <v>3</v>
      </c>
      <c r="L8" s="13">
        <v>3</v>
      </c>
      <c r="M8" s="2">
        <v>2</v>
      </c>
      <c r="N8" s="31">
        <f t="shared" si="4"/>
        <v>0.66666666666666663</v>
      </c>
      <c r="O8" s="1">
        <v>2</v>
      </c>
      <c r="P8" s="31">
        <f t="shared" si="5"/>
        <v>0.66666666666666663</v>
      </c>
      <c r="Q8" s="11">
        <v>5</v>
      </c>
      <c r="R8" s="47">
        <v>4</v>
      </c>
      <c r="S8" s="13">
        <v>5</v>
      </c>
      <c r="T8" s="2">
        <v>2</v>
      </c>
      <c r="U8" s="31">
        <f t="shared" si="6"/>
        <v>0.4</v>
      </c>
      <c r="V8" s="2">
        <v>1</v>
      </c>
      <c r="W8" s="31">
        <f t="shared" si="7"/>
        <v>0.25</v>
      </c>
      <c r="X8" s="1">
        <v>3</v>
      </c>
      <c r="Y8" s="49">
        <f t="shared" si="8"/>
        <v>0.6</v>
      </c>
      <c r="Z8" s="2">
        <v>1</v>
      </c>
      <c r="AA8" s="2">
        <v>0</v>
      </c>
      <c r="AB8" s="1">
        <v>2</v>
      </c>
      <c r="AC8" s="11"/>
      <c r="AD8" s="12">
        <v>10</v>
      </c>
      <c r="AE8" s="12">
        <v>8</v>
      </c>
      <c r="AF8" s="51">
        <f t="shared" si="0"/>
        <v>0.8</v>
      </c>
      <c r="AG8" s="12">
        <v>10</v>
      </c>
      <c r="AH8" s="53">
        <f t="shared" si="9"/>
        <v>1.25</v>
      </c>
      <c r="AI8" s="55">
        <v>45105</v>
      </c>
    </row>
    <row r="9" spans="1:35" x14ac:dyDescent="0.3">
      <c r="A9" s="30" t="s">
        <v>5</v>
      </c>
      <c r="B9" s="11">
        <v>4</v>
      </c>
      <c r="C9" s="12">
        <v>2</v>
      </c>
      <c r="D9" s="13">
        <v>2</v>
      </c>
      <c r="E9" s="2">
        <v>3</v>
      </c>
      <c r="F9" s="32">
        <f t="shared" si="1"/>
        <v>0.75</v>
      </c>
      <c r="G9" s="1">
        <v>0</v>
      </c>
      <c r="H9" s="31">
        <f t="shared" si="2"/>
        <v>0</v>
      </c>
      <c r="I9" s="1">
        <v>0</v>
      </c>
      <c r="J9" s="31">
        <f t="shared" si="3"/>
        <v>0</v>
      </c>
      <c r="K9" s="11">
        <v>4</v>
      </c>
      <c r="L9" s="13">
        <v>3</v>
      </c>
      <c r="M9" s="2">
        <v>5</v>
      </c>
      <c r="N9" s="31">
        <f t="shared" si="4"/>
        <v>1.25</v>
      </c>
      <c r="O9" s="1">
        <v>0</v>
      </c>
      <c r="P9" s="31">
        <f t="shared" si="5"/>
        <v>0</v>
      </c>
      <c r="Q9" s="11">
        <v>7</v>
      </c>
      <c r="R9" s="47">
        <v>3</v>
      </c>
      <c r="S9" s="13">
        <v>7</v>
      </c>
      <c r="T9" s="2">
        <v>1</v>
      </c>
      <c r="U9" s="31">
        <f t="shared" si="6"/>
        <v>0.14285714285714285</v>
      </c>
      <c r="V9" s="2">
        <v>0</v>
      </c>
      <c r="W9" s="31">
        <f t="shared" si="7"/>
        <v>0</v>
      </c>
      <c r="X9" s="1">
        <v>1</v>
      </c>
      <c r="Y9" s="49">
        <f t="shared" si="8"/>
        <v>0.14285714285714285</v>
      </c>
      <c r="Z9" s="2">
        <v>0</v>
      </c>
      <c r="AA9" s="2">
        <v>0</v>
      </c>
      <c r="AB9" s="1">
        <v>3</v>
      </c>
      <c r="AC9" s="11"/>
      <c r="AD9" s="12">
        <v>9</v>
      </c>
      <c r="AE9" s="12">
        <v>4</v>
      </c>
      <c r="AF9" s="51">
        <f t="shared" si="0"/>
        <v>0.44444444444444442</v>
      </c>
      <c r="AG9" s="52">
        <v>2</v>
      </c>
      <c r="AH9" s="53">
        <f t="shared" si="9"/>
        <v>0.5</v>
      </c>
      <c r="AI9" s="61">
        <v>45099</v>
      </c>
    </row>
    <row r="10" spans="1:35" x14ac:dyDescent="0.3">
      <c r="A10" s="30" t="s">
        <v>4</v>
      </c>
      <c r="B10" s="11">
        <v>1</v>
      </c>
      <c r="C10" s="12">
        <v>1</v>
      </c>
      <c r="D10" s="13">
        <v>1</v>
      </c>
      <c r="E10" s="2">
        <v>2</v>
      </c>
      <c r="F10" s="32">
        <f t="shared" si="1"/>
        <v>2</v>
      </c>
      <c r="G10" s="1">
        <v>1</v>
      </c>
      <c r="H10" s="31">
        <f t="shared" si="2"/>
        <v>1</v>
      </c>
      <c r="I10" s="1">
        <v>0</v>
      </c>
      <c r="J10" s="31">
        <f t="shared" si="3"/>
        <v>0</v>
      </c>
      <c r="K10" s="11">
        <v>1</v>
      </c>
      <c r="L10" s="13">
        <v>1</v>
      </c>
      <c r="M10" s="2">
        <v>0</v>
      </c>
      <c r="N10" s="31">
        <f t="shared" si="4"/>
        <v>0</v>
      </c>
      <c r="O10" s="1">
        <v>1</v>
      </c>
      <c r="P10" s="31">
        <f t="shared" si="5"/>
        <v>1</v>
      </c>
      <c r="Q10" s="11">
        <v>4</v>
      </c>
      <c r="R10" s="47">
        <v>3</v>
      </c>
      <c r="S10" s="13">
        <v>3</v>
      </c>
      <c r="T10" s="2">
        <v>1</v>
      </c>
      <c r="U10" s="31">
        <f t="shared" si="6"/>
        <v>0.25</v>
      </c>
      <c r="V10" s="2">
        <v>0</v>
      </c>
      <c r="W10" s="31">
        <f t="shared" si="7"/>
        <v>0</v>
      </c>
      <c r="X10" s="1">
        <v>0</v>
      </c>
      <c r="Y10" s="49">
        <f t="shared" si="8"/>
        <v>0</v>
      </c>
      <c r="Z10" s="2">
        <v>0</v>
      </c>
      <c r="AA10" s="2">
        <v>0</v>
      </c>
      <c r="AB10" s="1">
        <v>0</v>
      </c>
      <c r="AC10" s="11"/>
      <c r="AD10" s="12">
        <v>3</v>
      </c>
      <c r="AE10" s="12">
        <v>1</v>
      </c>
      <c r="AF10" s="51">
        <f t="shared" si="0"/>
        <v>0.33333333333333331</v>
      </c>
      <c r="AG10" s="12">
        <v>1</v>
      </c>
      <c r="AH10" s="53">
        <f t="shared" si="9"/>
        <v>1</v>
      </c>
      <c r="AI10" s="61">
        <v>45103</v>
      </c>
    </row>
    <row r="11" spans="1:35" x14ac:dyDescent="0.3">
      <c r="A11" s="17" t="s">
        <v>13</v>
      </c>
      <c r="B11" s="18">
        <f>SUM(B8:B10)</f>
        <v>9</v>
      </c>
      <c r="C11" s="19">
        <f t="shared" ref="C11:G11" si="12">SUM(C8:C10)</f>
        <v>5</v>
      </c>
      <c r="D11" s="20">
        <f t="shared" si="12"/>
        <v>5</v>
      </c>
      <c r="E11" s="18">
        <f t="shared" si="12"/>
        <v>10</v>
      </c>
      <c r="F11" s="21">
        <f>E11/B11</f>
        <v>1.1111111111111112</v>
      </c>
      <c r="G11" s="19">
        <f t="shared" si="12"/>
        <v>2</v>
      </c>
      <c r="H11" s="21">
        <f>G11/C11</f>
        <v>0.4</v>
      </c>
      <c r="I11" s="19">
        <f t="shared" ref="I11" si="13">SUM(I8:I10)</f>
        <v>1</v>
      </c>
      <c r="J11" s="22">
        <f>I11/D11</f>
        <v>0.2</v>
      </c>
      <c r="K11" s="18">
        <f>SUM(K8:K10)</f>
        <v>8</v>
      </c>
      <c r="L11" s="20">
        <f t="shared" ref="L11:M11" si="14">SUM(L8:L10)</f>
        <v>7</v>
      </c>
      <c r="M11" s="18">
        <f t="shared" si="14"/>
        <v>7</v>
      </c>
      <c r="N11" s="21">
        <f>M11/K11</f>
        <v>0.875</v>
      </c>
      <c r="O11" s="19">
        <f t="shared" ref="O11" si="15">SUM(O8:O10)</f>
        <v>3</v>
      </c>
      <c r="P11" s="21">
        <f>O11/L11</f>
        <v>0.42857142857142855</v>
      </c>
      <c r="Q11" s="18">
        <f>SUM(Q8:Q10)</f>
        <v>16</v>
      </c>
      <c r="R11" s="18">
        <f>SUM(R8:R10)</f>
        <v>10</v>
      </c>
      <c r="S11" s="20">
        <f t="shared" ref="S11:X11" si="16">SUM(S8:S10)</f>
        <v>15</v>
      </c>
      <c r="T11" s="18">
        <f t="shared" si="16"/>
        <v>4</v>
      </c>
      <c r="U11" s="21">
        <f>T11/Q11</f>
        <v>0.25</v>
      </c>
      <c r="V11" s="18">
        <f t="shared" si="16"/>
        <v>1</v>
      </c>
      <c r="W11" s="21">
        <f>V11/R11</f>
        <v>0.1</v>
      </c>
      <c r="X11" s="18">
        <f t="shared" si="16"/>
        <v>4</v>
      </c>
      <c r="Y11" s="50">
        <f>X11/S11</f>
        <v>0.26666666666666666</v>
      </c>
      <c r="Z11" s="18">
        <f t="shared" ref="Z11" si="17">SUM(Z8:Z10)</f>
        <v>1</v>
      </c>
      <c r="AA11" s="18">
        <f t="shared" ref="AA11" si="18">SUM(AA8:AA10)</f>
        <v>0</v>
      </c>
      <c r="AB11" s="18">
        <f t="shared" ref="AB11" si="19">SUM(AB8:AB10)</f>
        <v>5</v>
      </c>
      <c r="AC11" s="18">
        <f>SUM(AC8:AC10)</f>
        <v>0</v>
      </c>
      <c r="AD11" s="19">
        <f>SUM(AD8:AD10)</f>
        <v>22</v>
      </c>
      <c r="AE11" s="19">
        <f t="shared" ref="AE11:AG11" si="20">SUM(AE8:AE10)</f>
        <v>13</v>
      </c>
      <c r="AF11" s="21">
        <f t="shared" si="0"/>
        <v>0.59090909090909094</v>
      </c>
      <c r="AG11" s="19">
        <f t="shared" si="20"/>
        <v>13</v>
      </c>
      <c r="AH11" s="22">
        <f>AG11/AE11</f>
        <v>1</v>
      </c>
      <c r="AI11" s="20"/>
    </row>
    <row r="12" spans="1:35" ht="15" thickBot="1" x14ac:dyDescent="0.35">
      <c r="A12" s="23" t="s">
        <v>8</v>
      </c>
      <c r="B12" s="24">
        <f>SUM(B11+B7)</f>
        <v>21</v>
      </c>
      <c r="C12" s="25">
        <f>SUM(C11+C7)</f>
        <v>13</v>
      </c>
      <c r="D12" s="26">
        <f>SUM(D11+D7)</f>
        <v>13</v>
      </c>
      <c r="E12" s="24">
        <f>SUM(E11+E7)</f>
        <v>25</v>
      </c>
      <c r="F12" s="27">
        <f>E12/B12</f>
        <v>1.1904761904761905</v>
      </c>
      <c r="G12" s="25">
        <f>SUM(G11+G7)</f>
        <v>10</v>
      </c>
      <c r="H12" s="27">
        <f>G12/C12</f>
        <v>0.76923076923076927</v>
      </c>
      <c r="I12" s="25">
        <f>SUM(I11+I7)</f>
        <v>3</v>
      </c>
      <c r="J12" s="28">
        <f>I12/D12</f>
        <v>0.23076923076923078</v>
      </c>
      <c r="K12" s="24">
        <f>SUM(K11+K7)</f>
        <v>19</v>
      </c>
      <c r="L12" s="26">
        <f>SUM(L11+L7)</f>
        <v>16</v>
      </c>
      <c r="M12" s="24">
        <f>SUM(M11+M7)</f>
        <v>16</v>
      </c>
      <c r="N12" s="27">
        <f>M12/K12</f>
        <v>0.84210526315789469</v>
      </c>
      <c r="O12" s="25">
        <f>SUM(O11+O7)</f>
        <v>7</v>
      </c>
      <c r="P12" s="27">
        <f>O12/L12</f>
        <v>0.4375</v>
      </c>
      <c r="Q12" s="24">
        <f t="shared" ref="Q12:T12" si="21">SUM(Q11+Q7)</f>
        <v>32</v>
      </c>
      <c r="R12" s="24">
        <f t="shared" si="21"/>
        <v>21</v>
      </c>
      <c r="S12" s="26">
        <f t="shared" si="21"/>
        <v>31</v>
      </c>
      <c r="T12" s="24">
        <f t="shared" si="21"/>
        <v>16</v>
      </c>
      <c r="U12" s="27">
        <f>T12/Q12</f>
        <v>0.5</v>
      </c>
      <c r="V12" s="24">
        <f>SUM(V11+V7)</f>
        <v>5</v>
      </c>
      <c r="W12" s="27">
        <f>V12/R12</f>
        <v>0.23809523809523808</v>
      </c>
      <c r="X12" s="24">
        <f>SUM(X11+X7)</f>
        <v>16</v>
      </c>
      <c r="Y12" s="62">
        <f>X12/S12</f>
        <v>0.5161290322580645</v>
      </c>
      <c r="Z12" s="24">
        <f t="shared" ref="Z12" si="22">SUM(Z11+Z7)</f>
        <v>1</v>
      </c>
      <c r="AA12" s="24">
        <f>SUM(AA11+AA7)</f>
        <v>0</v>
      </c>
      <c r="AB12" s="24">
        <f>SUM(AB11+AB7)</f>
        <v>10</v>
      </c>
      <c r="AC12" s="24">
        <f>SUM(AC11+AC7)</f>
        <v>0</v>
      </c>
      <c r="AD12" s="25">
        <f>SUM(AD11+AD7)</f>
        <v>60</v>
      </c>
      <c r="AE12" s="25">
        <f>SUM(AE11+AE7)</f>
        <v>36</v>
      </c>
      <c r="AF12" s="27">
        <f t="shared" si="0"/>
        <v>0.6</v>
      </c>
      <c r="AG12" s="25">
        <f>SUM(AG11+AG7)</f>
        <v>33</v>
      </c>
      <c r="AH12" s="28">
        <f>AG12/AE12</f>
        <v>0.91666666666666663</v>
      </c>
      <c r="AI12" s="26"/>
    </row>
  </sheetData>
  <mergeCells count="10">
    <mergeCell ref="B1:D1"/>
    <mergeCell ref="A1:A2"/>
    <mergeCell ref="K1:L1"/>
    <mergeCell ref="M1:P1"/>
    <mergeCell ref="Q1:S1"/>
    <mergeCell ref="T1:Y1"/>
    <mergeCell ref="AC1:AH1"/>
    <mergeCell ref="E1:J1"/>
    <mergeCell ref="AI1:AI2"/>
    <mergeCell ref="Z1:AB1"/>
  </mergeCells>
  <conditionalFormatting sqref="F3:F6">
    <cfRule type="colorScale" priority="32">
      <colorScale>
        <cfvo type="min"/>
        <cfvo type="percentile" val="30"/>
        <color rgb="FFFF0000"/>
        <color rgb="FF00B050"/>
      </colorScale>
    </cfRule>
  </conditionalFormatting>
  <conditionalFormatting sqref="F8:F10">
    <cfRule type="colorScale" priority="25">
      <colorScale>
        <cfvo type="min"/>
        <cfvo type="percentile" val="30"/>
        <color rgb="FFFF0000"/>
        <color rgb="FF00B050"/>
      </colorScale>
    </cfRule>
  </conditionalFormatting>
  <conditionalFormatting sqref="H3:H6">
    <cfRule type="colorScale" priority="29">
      <colorScale>
        <cfvo type="min"/>
        <cfvo type="percentile" val="90"/>
        <color rgb="FFFF0000"/>
        <color rgb="FF00B050"/>
      </colorScale>
    </cfRule>
  </conditionalFormatting>
  <conditionalFormatting sqref="H8:H10">
    <cfRule type="colorScale" priority="28">
      <colorScale>
        <cfvo type="percentile" val="10"/>
        <cfvo type="percent" val="90"/>
        <color rgb="FFFF0000"/>
        <color rgb="FF00B050"/>
      </colorScale>
    </cfRule>
  </conditionalFormatting>
  <conditionalFormatting sqref="J3:J6">
    <cfRule type="colorScale" priority="27">
      <colorScale>
        <cfvo type="min"/>
        <cfvo type="percentile" val="90"/>
        <color rgb="FFFF0000"/>
        <color rgb="FF00B050"/>
      </colorScale>
    </cfRule>
  </conditionalFormatting>
  <conditionalFormatting sqref="J8:J10">
    <cfRule type="colorScale" priority="26">
      <colorScale>
        <cfvo type="percent" val="40"/>
        <cfvo type="percent" val="50"/>
        <cfvo type="percent" val="100"/>
        <color rgb="FFFF0000"/>
        <color rgb="FFFFEB84"/>
        <color rgb="FF00B050"/>
      </colorScale>
    </cfRule>
  </conditionalFormatting>
  <conditionalFormatting sqref="N3:N6">
    <cfRule type="colorScale" priority="18">
      <colorScale>
        <cfvo type="min"/>
        <cfvo type="percentile" val="30"/>
        <color rgb="FFFF0000"/>
        <color rgb="FF00B050"/>
      </colorScale>
    </cfRule>
  </conditionalFormatting>
  <conditionalFormatting sqref="N8:N10">
    <cfRule type="colorScale" priority="14">
      <colorScale>
        <cfvo type="min"/>
        <cfvo type="percentile" val="30"/>
        <color rgb="FFFF0000"/>
        <color rgb="FF00B050"/>
      </colorScale>
    </cfRule>
  </conditionalFormatting>
  <conditionalFormatting sqref="P8:P10">
    <cfRule type="colorScale" priority="13">
      <colorScale>
        <cfvo type="min"/>
        <cfvo type="percentile" val="90"/>
        <color rgb="FFFF0000"/>
        <color rgb="FF00B050"/>
      </colorScale>
    </cfRule>
  </conditionalFormatting>
  <conditionalFormatting sqref="U3:U6">
    <cfRule type="colorScale" priority="8">
      <colorScale>
        <cfvo type="min"/>
        <cfvo type="percentile" val="90"/>
        <color rgb="FFFF0000"/>
        <color rgb="FF00B050"/>
      </colorScale>
    </cfRule>
  </conditionalFormatting>
  <conditionalFormatting sqref="U8:U10">
    <cfRule type="colorScale" priority="7">
      <colorScale>
        <cfvo type="min"/>
        <cfvo type="percentile" val="90"/>
        <color rgb="FFFF0000"/>
        <color rgb="FF00B050"/>
      </colorScale>
    </cfRule>
  </conditionalFormatting>
  <conditionalFormatting sqref="W3:W6">
    <cfRule type="colorScale" priority="9">
      <colorScale>
        <cfvo type="min"/>
        <cfvo type="percentile" val="90"/>
        <color rgb="FFFF0000"/>
        <color rgb="FF00B050"/>
      </colorScale>
    </cfRule>
  </conditionalFormatting>
  <conditionalFormatting sqref="W8:W10">
    <cfRule type="colorScale" priority="6">
      <colorScale>
        <cfvo type="min"/>
        <cfvo type="percentile" val="90"/>
        <color rgb="FFFF0000"/>
        <color rgb="FF00B050"/>
      </colorScale>
    </cfRule>
  </conditionalFormatting>
  <conditionalFormatting sqref="Y3:Y6 P3:P6">
    <cfRule type="colorScale" priority="33">
      <colorScale>
        <cfvo type="min"/>
        <cfvo type="percentile" val="90"/>
        <color rgb="FFFF0000"/>
        <color rgb="FF00B050"/>
      </colorScale>
    </cfRule>
  </conditionalFormatting>
  <conditionalFormatting sqref="Y8:Y10">
    <cfRule type="colorScale" priority="35">
      <colorScale>
        <cfvo type="min"/>
        <cfvo type="percentile" val="90"/>
        <color rgb="FFFF0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A430-0055-47DA-9BD4-B906948B2C83}">
  <dimension ref="A1:BN64"/>
  <sheetViews>
    <sheetView tabSelected="1" topLeftCell="A58" workbookViewId="0">
      <pane xSplit="1" topLeftCell="BA1" activePane="topRight" state="frozen"/>
      <selection activeCell="A28" sqref="A28"/>
      <selection pane="topRight" activeCell="BM58" sqref="BM58"/>
    </sheetView>
  </sheetViews>
  <sheetFormatPr defaultRowHeight="14.4" x14ac:dyDescent="0.3"/>
  <cols>
    <col min="1" max="1" width="17.5546875" bestFit="1" customWidth="1"/>
    <col min="2" max="2" width="6.44140625" bestFit="1" customWidth="1"/>
    <col min="3" max="3" width="7.88671875" bestFit="1" customWidth="1"/>
    <col min="4" max="4" width="4.44140625" bestFit="1" customWidth="1"/>
    <col min="5" max="5" width="7.6640625" bestFit="1" customWidth="1"/>
    <col min="6" max="6" width="5.44140625" bestFit="1" customWidth="1"/>
    <col min="7" max="7" width="6.44140625" bestFit="1" customWidth="1"/>
    <col min="8" max="8" width="7.88671875" bestFit="1" customWidth="1"/>
    <col min="9" max="9" width="7.5546875" bestFit="1" customWidth="1"/>
    <col min="10" max="10" width="7.6640625" bestFit="1" customWidth="1"/>
    <col min="11" max="11" width="7.5546875" bestFit="1" customWidth="1"/>
    <col min="12" max="12" width="6.44140625" bestFit="1" customWidth="1"/>
    <col min="13" max="13" width="7.88671875" bestFit="1" customWidth="1"/>
    <col min="14" max="14" width="7.5546875" bestFit="1" customWidth="1"/>
    <col min="15" max="15" width="7.6640625" bestFit="1" customWidth="1"/>
    <col min="16" max="16" width="7.5546875" bestFit="1" customWidth="1"/>
    <col min="17" max="17" width="6.44140625" bestFit="1" customWidth="1"/>
    <col min="18" max="18" width="7.88671875" bestFit="1" customWidth="1"/>
    <col min="19" max="19" width="7.5546875" bestFit="1" customWidth="1"/>
    <col min="20" max="20" width="7.6640625" bestFit="1" customWidth="1"/>
    <col min="21" max="21" width="7.5546875" bestFit="1" customWidth="1"/>
    <col min="22" max="22" width="6.44140625" bestFit="1" customWidth="1"/>
    <col min="23" max="23" width="7.88671875" bestFit="1" customWidth="1"/>
    <col min="24" max="24" width="7.5546875" bestFit="1" customWidth="1"/>
    <col min="25" max="25" width="7.6640625" bestFit="1" customWidth="1"/>
    <col min="26" max="26" width="7.5546875" bestFit="1" customWidth="1"/>
    <col min="27" max="27" width="6.44140625" bestFit="1" customWidth="1"/>
    <col min="28" max="28" width="7.88671875" bestFit="1" customWidth="1"/>
    <col min="29" max="29" width="7.5546875" bestFit="1" customWidth="1"/>
    <col min="30" max="30" width="7.6640625" bestFit="1" customWidth="1"/>
    <col min="31" max="31" width="7.5546875" bestFit="1" customWidth="1"/>
    <col min="32" max="32" width="6.44140625" bestFit="1" customWidth="1"/>
    <col min="33" max="33" width="7.88671875" bestFit="1" customWidth="1"/>
    <col min="34" max="34" width="7.5546875" bestFit="1" customWidth="1"/>
    <col min="35" max="35" width="7.6640625" bestFit="1" customWidth="1"/>
    <col min="36" max="36" width="7.5546875" bestFit="1" customWidth="1"/>
    <col min="37" max="37" width="6.44140625" bestFit="1" customWidth="1"/>
    <col min="38" max="38" width="7.88671875" bestFit="1" customWidth="1"/>
    <col min="39" max="39" width="7.5546875" bestFit="1" customWidth="1"/>
    <col min="40" max="40" width="7.6640625" bestFit="1" customWidth="1"/>
    <col min="41" max="41" width="7.5546875" bestFit="1" customWidth="1"/>
    <col min="42" max="42" width="6.44140625" bestFit="1" customWidth="1"/>
    <col min="43" max="43" width="7.88671875" bestFit="1" customWidth="1"/>
    <col min="44" max="44" width="7.5546875" bestFit="1" customWidth="1"/>
    <col min="45" max="45" width="7.6640625" bestFit="1" customWidth="1"/>
    <col min="46" max="46" width="7.5546875" bestFit="1" customWidth="1"/>
    <col min="47" max="47" width="6.44140625" bestFit="1" customWidth="1"/>
    <col min="48" max="48" width="7.88671875" bestFit="1" customWidth="1"/>
    <col min="49" max="49" width="7.5546875" bestFit="1" customWidth="1"/>
    <col min="50" max="50" width="7.6640625" bestFit="1" customWidth="1"/>
    <col min="51" max="51" width="7.5546875" bestFit="1" customWidth="1"/>
    <col min="52" max="52" width="6.44140625" bestFit="1" customWidth="1"/>
    <col min="53" max="53" width="7.88671875" bestFit="1" customWidth="1"/>
    <col min="54" max="54" width="7.5546875" bestFit="1" customWidth="1"/>
    <col min="55" max="55" width="7.6640625" bestFit="1" customWidth="1"/>
    <col min="56" max="56" width="7.5546875" bestFit="1" customWidth="1"/>
    <col min="57" max="57" width="6.44140625" bestFit="1" customWidth="1"/>
    <col min="58" max="58" width="7.88671875" bestFit="1" customWidth="1"/>
    <col min="59" max="59" width="7.5546875" bestFit="1" customWidth="1"/>
    <col min="60" max="60" width="7.6640625" bestFit="1" customWidth="1"/>
    <col min="61" max="61" width="7.5546875" bestFit="1" customWidth="1"/>
    <col min="62" max="62" width="6.44140625" bestFit="1" customWidth="1"/>
    <col min="63" max="63" width="7.88671875" bestFit="1" customWidth="1"/>
    <col min="64" max="64" width="4.44140625" bestFit="1" customWidth="1"/>
    <col min="65" max="65" width="7.6640625" bestFit="1" customWidth="1"/>
    <col min="66" max="66" width="4.44140625" bestFit="1" customWidth="1"/>
  </cols>
  <sheetData>
    <row r="1" spans="1:66" ht="15" thickBot="1" x14ac:dyDescent="0.35">
      <c r="A1" s="153" t="s">
        <v>105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</row>
    <row r="2" spans="1:66" x14ac:dyDescent="0.3">
      <c r="A2" s="116"/>
      <c r="B2" s="155" t="s">
        <v>29</v>
      </c>
      <c r="C2" s="156"/>
      <c r="D2" s="156"/>
      <c r="E2" s="156"/>
      <c r="F2" s="157"/>
      <c r="G2" s="155" t="s">
        <v>17</v>
      </c>
      <c r="H2" s="156"/>
      <c r="I2" s="156"/>
      <c r="J2" s="156"/>
      <c r="K2" s="157"/>
      <c r="L2" s="155" t="s">
        <v>30</v>
      </c>
      <c r="M2" s="156"/>
      <c r="N2" s="156"/>
      <c r="O2" s="156"/>
      <c r="P2" s="157"/>
      <c r="Q2" s="155" t="s">
        <v>14</v>
      </c>
      <c r="R2" s="156"/>
      <c r="S2" s="156"/>
      <c r="T2" s="156"/>
      <c r="U2" s="157"/>
      <c r="V2" s="155" t="s">
        <v>20</v>
      </c>
      <c r="W2" s="156"/>
      <c r="X2" s="156"/>
      <c r="Y2" s="156"/>
      <c r="Z2" s="157"/>
      <c r="AA2" s="155" t="s">
        <v>21</v>
      </c>
      <c r="AB2" s="156"/>
      <c r="AC2" s="156"/>
      <c r="AD2" s="156"/>
      <c r="AE2" s="157"/>
      <c r="AF2" s="155" t="s">
        <v>31</v>
      </c>
      <c r="AG2" s="156"/>
      <c r="AH2" s="156"/>
      <c r="AI2" s="156"/>
      <c r="AJ2" s="157"/>
      <c r="AK2" s="155" t="s">
        <v>32</v>
      </c>
      <c r="AL2" s="156"/>
      <c r="AM2" s="156"/>
      <c r="AN2" s="156"/>
      <c r="AO2" s="157"/>
      <c r="AP2" s="155" t="s">
        <v>33</v>
      </c>
      <c r="AQ2" s="156"/>
      <c r="AR2" s="156"/>
      <c r="AS2" s="156"/>
      <c r="AT2" s="157"/>
      <c r="AU2" s="155" t="s">
        <v>34</v>
      </c>
      <c r="AV2" s="156"/>
      <c r="AW2" s="156"/>
      <c r="AX2" s="156"/>
      <c r="AY2" s="157"/>
      <c r="AZ2" s="155" t="s">
        <v>35</v>
      </c>
      <c r="BA2" s="156"/>
      <c r="BB2" s="156"/>
      <c r="BC2" s="156"/>
      <c r="BD2" s="157"/>
      <c r="BE2" s="155" t="s">
        <v>36</v>
      </c>
      <c r="BF2" s="156"/>
      <c r="BG2" s="156"/>
      <c r="BH2" s="156"/>
      <c r="BI2" s="157"/>
      <c r="BJ2" s="155">
        <v>2024</v>
      </c>
      <c r="BK2" s="156"/>
      <c r="BL2" s="156"/>
      <c r="BM2" s="156"/>
      <c r="BN2" s="157"/>
    </row>
    <row r="3" spans="1:66" x14ac:dyDescent="0.3">
      <c r="A3" s="111" t="s">
        <v>28</v>
      </c>
      <c r="B3" s="99" t="s">
        <v>8</v>
      </c>
      <c r="C3" s="33" t="s">
        <v>27</v>
      </c>
      <c r="D3" s="33" t="s">
        <v>22</v>
      </c>
      <c r="E3" s="33" t="s">
        <v>25</v>
      </c>
      <c r="F3" s="100" t="s">
        <v>22</v>
      </c>
      <c r="G3" s="99" t="s">
        <v>8</v>
      </c>
      <c r="H3" s="33" t="s">
        <v>27</v>
      </c>
      <c r="I3" s="33" t="s">
        <v>22</v>
      </c>
      <c r="J3" s="33" t="s">
        <v>25</v>
      </c>
      <c r="K3" s="100" t="s">
        <v>22</v>
      </c>
      <c r="L3" s="99" t="s">
        <v>8</v>
      </c>
      <c r="M3" s="33" t="s">
        <v>27</v>
      </c>
      <c r="N3" s="33" t="s">
        <v>22</v>
      </c>
      <c r="O3" s="33" t="s">
        <v>25</v>
      </c>
      <c r="P3" s="100" t="s">
        <v>22</v>
      </c>
      <c r="Q3" s="99" t="s">
        <v>8</v>
      </c>
      <c r="R3" s="33" t="s">
        <v>27</v>
      </c>
      <c r="S3" s="33" t="s">
        <v>22</v>
      </c>
      <c r="T3" s="33" t="s">
        <v>25</v>
      </c>
      <c r="U3" s="100" t="s">
        <v>22</v>
      </c>
      <c r="V3" s="99" t="s">
        <v>8</v>
      </c>
      <c r="W3" s="33" t="s">
        <v>27</v>
      </c>
      <c r="X3" s="33" t="s">
        <v>22</v>
      </c>
      <c r="Y3" s="33" t="s">
        <v>25</v>
      </c>
      <c r="Z3" s="100" t="s">
        <v>22</v>
      </c>
      <c r="AA3" s="99" t="s">
        <v>8</v>
      </c>
      <c r="AB3" s="33" t="s">
        <v>27</v>
      </c>
      <c r="AC3" s="33" t="s">
        <v>22</v>
      </c>
      <c r="AD3" s="33" t="s">
        <v>25</v>
      </c>
      <c r="AE3" s="100" t="s">
        <v>22</v>
      </c>
      <c r="AF3" s="99" t="s">
        <v>8</v>
      </c>
      <c r="AG3" s="33" t="s">
        <v>27</v>
      </c>
      <c r="AH3" s="33" t="s">
        <v>22</v>
      </c>
      <c r="AI3" s="33" t="s">
        <v>25</v>
      </c>
      <c r="AJ3" s="100" t="s">
        <v>22</v>
      </c>
      <c r="AK3" s="99" t="s">
        <v>8</v>
      </c>
      <c r="AL3" s="33" t="s">
        <v>27</v>
      </c>
      <c r="AM3" s="33" t="s">
        <v>22</v>
      </c>
      <c r="AN3" s="33" t="s">
        <v>25</v>
      </c>
      <c r="AO3" s="100" t="s">
        <v>22</v>
      </c>
      <c r="AP3" s="99" t="s">
        <v>8</v>
      </c>
      <c r="AQ3" s="33" t="s">
        <v>27</v>
      </c>
      <c r="AR3" s="33" t="s">
        <v>22</v>
      </c>
      <c r="AS3" s="33" t="s">
        <v>25</v>
      </c>
      <c r="AT3" s="100" t="s">
        <v>22</v>
      </c>
      <c r="AU3" s="99" t="s">
        <v>8</v>
      </c>
      <c r="AV3" s="33" t="s">
        <v>27</v>
      </c>
      <c r="AW3" s="33" t="s">
        <v>22</v>
      </c>
      <c r="AX3" s="33" t="s">
        <v>25</v>
      </c>
      <c r="AY3" s="100" t="s">
        <v>22</v>
      </c>
      <c r="AZ3" s="99" t="s">
        <v>8</v>
      </c>
      <c r="BA3" s="33" t="s">
        <v>27</v>
      </c>
      <c r="BB3" s="33" t="s">
        <v>22</v>
      </c>
      <c r="BC3" s="33" t="s">
        <v>25</v>
      </c>
      <c r="BD3" s="100" t="s">
        <v>22</v>
      </c>
      <c r="BE3" s="99" t="s">
        <v>8</v>
      </c>
      <c r="BF3" s="33" t="s">
        <v>27</v>
      </c>
      <c r="BG3" s="33" t="s">
        <v>22</v>
      </c>
      <c r="BH3" s="33" t="s">
        <v>25</v>
      </c>
      <c r="BI3" s="100" t="s">
        <v>22</v>
      </c>
      <c r="BJ3" s="99" t="s">
        <v>8</v>
      </c>
      <c r="BK3" s="33" t="s">
        <v>27</v>
      </c>
      <c r="BL3" s="33" t="s">
        <v>22</v>
      </c>
      <c r="BM3" s="33" t="s">
        <v>25</v>
      </c>
      <c r="BN3" s="100" t="s">
        <v>22</v>
      </c>
    </row>
    <row r="4" spans="1:66" x14ac:dyDescent="0.3">
      <c r="A4" s="112" t="s">
        <v>12</v>
      </c>
      <c r="B4" s="101">
        <v>23</v>
      </c>
      <c r="C4" s="43">
        <v>9</v>
      </c>
      <c r="D4" s="44">
        <f>C4/B4</f>
        <v>0.39130434782608697</v>
      </c>
      <c r="E4" s="43">
        <f>B4-C4</f>
        <v>14</v>
      </c>
      <c r="F4" s="102">
        <f>E4/B4</f>
        <v>0.60869565217391308</v>
      </c>
      <c r="G4" s="101">
        <v>19</v>
      </c>
      <c r="H4" s="43">
        <v>8</v>
      </c>
      <c r="I4" s="44">
        <f>H4/G4</f>
        <v>0.42105263157894735</v>
      </c>
      <c r="J4" s="43">
        <f>G4-H4</f>
        <v>11</v>
      </c>
      <c r="K4" s="102">
        <f>J4/G4</f>
        <v>0.57894736842105265</v>
      </c>
      <c r="L4" s="101">
        <v>21</v>
      </c>
      <c r="M4" s="43">
        <v>6</v>
      </c>
      <c r="N4" s="44">
        <f>M4/L4</f>
        <v>0.2857142857142857</v>
      </c>
      <c r="O4" s="43">
        <f>L4-M4</f>
        <v>15</v>
      </c>
      <c r="P4" s="102">
        <f>O4/L4</f>
        <v>0.7142857142857143</v>
      </c>
      <c r="Q4" s="101">
        <v>22</v>
      </c>
      <c r="R4" s="43">
        <v>10</v>
      </c>
      <c r="S4" s="44">
        <f>R4/Q4</f>
        <v>0.45454545454545453</v>
      </c>
      <c r="T4" s="43">
        <f>Q4-R4</f>
        <v>12</v>
      </c>
      <c r="U4" s="102">
        <f>T4/Q4</f>
        <v>0.54545454545454541</v>
      </c>
      <c r="V4" s="101">
        <v>18</v>
      </c>
      <c r="W4" s="43">
        <v>4</v>
      </c>
      <c r="X4" s="44">
        <f>W4/V4</f>
        <v>0.22222222222222221</v>
      </c>
      <c r="Y4" s="43">
        <f>V4-W4</f>
        <v>14</v>
      </c>
      <c r="Z4" s="102">
        <f>Y4/V4</f>
        <v>0.77777777777777779</v>
      </c>
      <c r="AA4" s="101">
        <v>24</v>
      </c>
      <c r="AB4" s="43">
        <v>7</v>
      </c>
      <c r="AC4" s="44">
        <f>AB4/AA4</f>
        <v>0.29166666666666669</v>
      </c>
      <c r="AD4" s="43">
        <f>AA4-AB4</f>
        <v>17</v>
      </c>
      <c r="AE4" s="102">
        <f>AD4/AA4</f>
        <v>0.70833333333333337</v>
      </c>
      <c r="AF4" s="101">
        <v>24</v>
      </c>
      <c r="AG4" s="43">
        <v>3</v>
      </c>
      <c r="AH4" s="44">
        <f>AG4/AF4</f>
        <v>0.125</v>
      </c>
      <c r="AI4" s="43">
        <f>AF4-AG4</f>
        <v>21</v>
      </c>
      <c r="AJ4" s="102">
        <f>AI4/AF4</f>
        <v>0.875</v>
      </c>
      <c r="AK4" s="101">
        <v>20</v>
      </c>
      <c r="AL4" s="43">
        <v>7</v>
      </c>
      <c r="AM4" s="44">
        <f>AL4/AK4</f>
        <v>0.35</v>
      </c>
      <c r="AN4" s="43">
        <f>AK4-AL4</f>
        <v>13</v>
      </c>
      <c r="AO4" s="102">
        <f>AN4/AK4</f>
        <v>0.65</v>
      </c>
      <c r="AP4" s="101">
        <v>18</v>
      </c>
      <c r="AQ4" s="43">
        <v>14</v>
      </c>
      <c r="AR4" s="44">
        <f>AQ4/AP4</f>
        <v>0.77777777777777779</v>
      </c>
      <c r="AS4" s="43">
        <f>AP4-AQ4</f>
        <v>4</v>
      </c>
      <c r="AT4" s="102">
        <f>AS4/AP4</f>
        <v>0.22222222222222221</v>
      </c>
      <c r="AU4" s="101">
        <v>10</v>
      </c>
      <c r="AV4" s="43">
        <v>3</v>
      </c>
      <c r="AW4" s="44">
        <f>AV4/AU4</f>
        <v>0.3</v>
      </c>
      <c r="AX4" s="43">
        <f>AU4-AV4</f>
        <v>7</v>
      </c>
      <c r="AY4" s="102">
        <f>AX4/AU4</f>
        <v>0.7</v>
      </c>
      <c r="AZ4" s="101"/>
      <c r="BA4" s="43"/>
      <c r="BB4" s="44" t="e">
        <f>BA4/AZ4</f>
        <v>#DIV/0!</v>
      </c>
      <c r="BC4" s="43">
        <f>AZ4-BA4</f>
        <v>0</v>
      </c>
      <c r="BD4" s="102" t="e">
        <f>BC4/AZ4</f>
        <v>#DIV/0!</v>
      </c>
      <c r="BE4" s="101"/>
      <c r="BF4" s="43"/>
      <c r="BG4" s="44" t="e">
        <f>BF4/BE4</f>
        <v>#DIV/0!</v>
      </c>
      <c r="BH4" s="43">
        <f>BE4-BF4</f>
        <v>0</v>
      </c>
      <c r="BI4" s="102" t="e">
        <f>BH4/BE4</f>
        <v>#DIV/0!</v>
      </c>
      <c r="BJ4" s="101">
        <f>B4+G4+L4+Q4+V4+AA4+AF4+AK4+AP4+AU4+AZ4+BE4</f>
        <v>199</v>
      </c>
      <c r="BK4" s="43">
        <f>C4+H4+M4+R4+W4+AB4+AG4+AL4+AQ4+AV4+BA4+BF4</f>
        <v>71</v>
      </c>
      <c r="BL4" s="44">
        <f>BK4/BJ4</f>
        <v>0.35678391959798994</v>
      </c>
      <c r="BM4" s="43">
        <f>BJ4-BK4</f>
        <v>128</v>
      </c>
      <c r="BN4" s="102">
        <f>BM4/BJ4</f>
        <v>0.64321608040201006</v>
      </c>
    </row>
    <row r="5" spans="1:66" x14ac:dyDescent="0.3">
      <c r="A5" s="112" t="s">
        <v>16</v>
      </c>
      <c r="B5" s="101">
        <v>14</v>
      </c>
      <c r="C5" s="43">
        <v>2</v>
      </c>
      <c r="D5" s="44">
        <f t="shared" ref="D5" si="0">C5/B5</f>
        <v>0.14285714285714285</v>
      </c>
      <c r="E5" s="43">
        <f t="shared" ref="E5" si="1">B5-C5</f>
        <v>12</v>
      </c>
      <c r="F5" s="102">
        <f t="shared" ref="F5" si="2">E5/B5</f>
        <v>0.8571428571428571</v>
      </c>
      <c r="G5" s="101">
        <v>17</v>
      </c>
      <c r="H5" s="43">
        <v>1</v>
      </c>
      <c r="I5" s="44">
        <f t="shared" ref="I5" si="3">H5/G5</f>
        <v>5.8823529411764705E-2</v>
      </c>
      <c r="J5" s="43">
        <f t="shared" ref="J5" si="4">G5-H5</f>
        <v>16</v>
      </c>
      <c r="K5" s="102">
        <f t="shared" ref="K5" si="5">J5/G5</f>
        <v>0.94117647058823528</v>
      </c>
      <c r="L5" s="101">
        <v>15</v>
      </c>
      <c r="M5" s="43">
        <v>5</v>
      </c>
      <c r="N5" s="44">
        <f t="shared" ref="N5" si="6">M5/L5</f>
        <v>0.33333333333333331</v>
      </c>
      <c r="O5" s="43">
        <f t="shared" ref="O5" si="7">L5-M5</f>
        <v>10</v>
      </c>
      <c r="P5" s="102">
        <f t="shared" ref="P5" si="8">O5/L5</f>
        <v>0.66666666666666663</v>
      </c>
      <c r="Q5" s="101">
        <v>11</v>
      </c>
      <c r="R5" s="43">
        <v>1</v>
      </c>
      <c r="S5" s="44">
        <f t="shared" ref="S5" si="9">R5/Q5</f>
        <v>9.0909090909090912E-2</v>
      </c>
      <c r="T5" s="43">
        <f t="shared" ref="T5" si="10">Q5-R5</f>
        <v>10</v>
      </c>
      <c r="U5" s="102">
        <f t="shared" ref="U5" si="11">T5/Q5</f>
        <v>0.90909090909090906</v>
      </c>
      <c r="V5" s="101">
        <v>11</v>
      </c>
      <c r="W5" s="43">
        <v>3</v>
      </c>
      <c r="X5" s="44">
        <f t="shared" ref="X5" si="12">W5/V5</f>
        <v>0.27272727272727271</v>
      </c>
      <c r="Y5" s="43">
        <f t="shared" ref="Y5" si="13">V5-W5</f>
        <v>8</v>
      </c>
      <c r="Z5" s="102">
        <f t="shared" ref="Z5" si="14">Y5/V5</f>
        <v>0.72727272727272729</v>
      </c>
      <c r="AA5" s="101">
        <v>18</v>
      </c>
      <c r="AB5" s="43">
        <v>2</v>
      </c>
      <c r="AC5" s="44">
        <f t="shared" ref="AC5" si="15">AB5/AA5</f>
        <v>0.1111111111111111</v>
      </c>
      <c r="AD5" s="43">
        <f t="shared" ref="AD5" si="16">AA5-AB5</f>
        <v>16</v>
      </c>
      <c r="AE5" s="102">
        <f t="shared" ref="AE5" si="17">AD5/AA5</f>
        <v>0.88888888888888884</v>
      </c>
      <c r="AF5" s="101">
        <v>12</v>
      </c>
      <c r="AG5" s="43">
        <v>1</v>
      </c>
      <c r="AH5" s="44">
        <f t="shared" ref="AH5" si="18">AG5/AF5</f>
        <v>8.3333333333333329E-2</v>
      </c>
      <c r="AI5" s="43">
        <f t="shared" ref="AI5" si="19">AF5-AG5</f>
        <v>11</v>
      </c>
      <c r="AJ5" s="102">
        <f t="shared" ref="AJ5" si="20">AI5/AF5</f>
        <v>0.91666666666666663</v>
      </c>
      <c r="AK5" s="101">
        <v>10</v>
      </c>
      <c r="AL5" s="43">
        <v>2</v>
      </c>
      <c r="AM5" s="44">
        <f t="shared" ref="AM5" si="21">AL5/AK5</f>
        <v>0.2</v>
      </c>
      <c r="AN5" s="43">
        <f t="shared" ref="AN5" si="22">AK5-AL5</f>
        <v>8</v>
      </c>
      <c r="AO5" s="102">
        <f t="shared" ref="AO5" si="23">AN5/AK5</f>
        <v>0.8</v>
      </c>
      <c r="AP5" s="101">
        <v>17</v>
      </c>
      <c r="AQ5" s="43">
        <v>1</v>
      </c>
      <c r="AR5" s="44">
        <f t="shared" ref="AR5" si="24">AQ5/AP5</f>
        <v>5.8823529411764705E-2</v>
      </c>
      <c r="AS5" s="43">
        <f t="shared" ref="AS5" si="25">AP5-AQ5</f>
        <v>16</v>
      </c>
      <c r="AT5" s="102">
        <f t="shared" ref="AT5" si="26">AS5/AP5</f>
        <v>0.94117647058823528</v>
      </c>
      <c r="AU5" s="101">
        <v>13</v>
      </c>
      <c r="AV5" s="43">
        <v>1</v>
      </c>
      <c r="AW5" s="44">
        <f t="shared" ref="AW5" si="27">AV5/AU5</f>
        <v>7.6923076923076927E-2</v>
      </c>
      <c r="AX5" s="43">
        <f t="shared" ref="AX5" si="28">AU5-AV5</f>
        <v>12</v>
      </c>
      <c r="AY5" s="102">
        <f t="shared" ref="AY5" si="29">AX5/AU5</f>
        <v>0.92307692307692313</v>
      </c>
      <c r="AZ5" s="101"/>
      <c r="BA5" s="43"/>
      <c r="BB5" s="44" t="e">
        <f t="shared" ref="BB5" si="30">BA5/AZ5</f>
        <v>#DIV/0!</v>
      </c>
      <c r="BC5" s="43">
        <f t="shared" ref="BC5" si="31">AZ5-BA5</f>
        <v>0</v>
      </c>
      <c r="BD5" s="102" t="e">
        <f t="shared" ref="BD5" si="32">BC5/AZ5</f>
        <v>#DIV/0!</v>
      </c>
      <c r="BE5" s="101"/>
      <c r="BF5" s="43"/>
      <c r="BG5" s="44" t="e">
        <f t="shared" ref="BG5" si="33">BF5/BE5</f>
        <v>#DIV/0!</v>
      </c>
      <c r="BH5" s="43">
        <f t="shared" ref="BH5" si="34">BE5-BF5</f>
        <v>0</v>
      </c>
      <c r="BI5" s="102" t="e">
        <f t="shared" ref="BI5" si="35">BH5/BE5</f>
        <v>#DIV/0!</v>
      </c>
      <c r="BJ5" s="101">
        <f t="shared" ref="BJ5:BJ10" si="36">B5+G5+L5+Q5+V5+AA5+AF5+AK5+AP5+AU5+AZ5+BE5</f>
        <v>138</v>
      </c>
      <c r="BK5" s="43">
        <f t="shared" ref="BK5:BK11" si="37">C5+H5+M5+R5+W5+AB5+AG5+AL5+AQ5+AV5+BA5+BF5</f>
        <v>19</v>
      </c>
      <c r="BL5" s="44">
        <f t="shared" ref="BL5" si="38">BK5/BJ5</f>
        <v>0.13768115942028986</v>
      </c>
      <c r="BM5" s="43">
        <f t="shared" ref="BM5" si="39">BJ5-BK5</f>
        <v>119</v>
      </c>
      <c r="BN5" s="102">
        <f t="shared" ref="BN5" si="40">BM5/BJ5</f>
        <v>0.8623188405797102</v>
      </c>
    </row>
    <row r="6" spans="1:66" x14ac:dyDescent="0.3">
      <c r="A6" s="112" t="s">
        <v>19</v>
      </c>
      <c r="B6" s="101">
        <v>16</v>
      </c>
      <c r="C6" s="43">
        <v>2</v>
      </c>
      <c r="D6" s="44">
        <f>C6/B6</f>
        <v>0.125</v>
      </c>
      <c r="E6" s="43">
        <f>B6-C6</f>
        <v>14</v>
      </c>
      <c r="F6" s="102">
        <f>E6/B6</f>
        <v>0.875</v>
      </c>
      <c r="G6" s="101">
        <v>15</v>
      </c>
      <c r="H6" s="43">
        <v>8</v>
      </c>
      <c r="I6" s="44">
        <f>H6/G6</f>
        <v>0.53333333333333333</v>
      </c>
      <c r="J6" s="43">
        <f>G6-H6</f>
        <v>7</v>
      </c>
      <c r="K6" s="102">
        <f>J6/G6</f>
        <v>0.46666666666666667</v>
      </c>
      <c r="L6" s="101">
        <v>15</v>
      </c>
      <c r="M6" s="43">
        <v>6</v>
      </c>
      <c r="N6" s="44">
        <f>M6/L6</f>
        <v>0.4</v>
      </c>
      <c r="O6" s="43">
        <f>L6-M6</f>
        <v>9</v>
      </c>
      <c r="P6" s="102">
        <f>O6/L6</f>
        <v>0.6</v>
      </c>
      <c r="Q6" s="101">
        <v>13</v>
      </c>
      <c r="R6" s="43">
        <v>6</v>
      </c>
      <c r="S6" s="44">
        <f>R6/Q6</f>
        <v>0.46153846153846156</v>
      </c>
      <c r="T6" s="43">
        <f>Q6-R6</f>
        <v>7</v>
      </c>
      <c r="U6" s="102">
        <f>T6/Q6</f>
        <v>0.53846153846153844</v>
      </c>
      <c r="V6" s="101">
        <v>15</v>
      </c>
      <c r="W6" s="43">
        <v>5</v>
      </c>
      <c r="X6" s="44">
        <f>W6/V6</f>
        <v>0.33333333333333331</v>
      </c>
      <c r="Y6" s="43">
        <f>V6-W6</f>
        <v>10</v>
      </c>
      <c r="Z6" s="102">
        <f>Y6/V6</f>
        <v>0.66666666666666663</v>
      </c>
      <c r="AA6" s="101">
        <v>10</v>
      </c>
      <c r="AB6" s="43">
        <v>3</v>
      </c>
      <c r="AC6" s="44">
        <f>AB6/AA6</f>
        <v>0.3</v>
      </c>
      <c r="AD6" s="43">
        <f>AA6-AB6</f>
        <v>7</v>
      </c>
      <c r="AE6" s="102">
        <f>AD6/AA6</f>
        <v>0.7</v>
      </c>
      <c r="AF6" s="101">
        <v>11</v>
      </c>
      <c r="AG6" s="43">
        <v>4</v>
      </c>
      <c r="AH6" s="44">
        <f>AG6/AF6</f>
        <v>0.36363636363636365</v>
      </c>
      <c r="AI6" s="43">
        <f>AF6-AG6</f>
        <v>7</v>
      </c>
      <c r="AJ6" s="102">
        <f>AI6/AF6</f>
        <v>0.63636363636363635</v>
      </c>
      <c r="AK6" s="101">
        <v>14</v>
      </c>
      <c r="AL6" s="43">
        <v>8</v>
      </c>
      <c r="AM6" s="44">
        <f>AL6/AK6</f>
        <v>0.5714285714285714</v>
      </c>
      <c r="AN6" s="43">
        <f>AK6-AL6</f>
        <v>6</v>
      </c>
      <c r="AO6" s="102">
        <f>AN6/AK6</f>
        <v>0.42857142857142855</v>
      </c>
      <c r="AP6" s="101">
        <v>23</v>
      </c>
      <c r="AQ6" s="43">
        <v>6</v>
      </c>
      <c r="AR6" s="44">
        <f>AQ6/AP6</f>
        <v>0.2608695652173913</v>
      </c>
      <c r="AS6" s="43">
        <f>AP6-AQ6</f>
        <v>17</v>
      </c>
      <c r="AT6" s="102">
        <f>AS6/AP6</f>
        <v>0.73913043478260865</v>
      </c>
      <c r="AU6" s="101">
        <v>10</v>
      </c>
      <c r="AV6" s="43">
        <v>1</v>
      </c>
      <c r="AW6" s="44">
        <f>AV6/AU6</f>
        <v>0.1</v>
      </c>
      <c r="AX6" s="43">
        <f>AU6-AV6</f>
        <v>9</v>
      </c>
      <c r="AY6" s="102">
        <f>AX6/AU6</f>
        <v>0.9</v>
      </c>
      <c r="AZ6" s="101"/>
      <c r="BA6" s="43"/>
      <c r="BB6" s="44" t="e">
        <f>BA6/AZ6</f>
        <v>#DIV/0!</v>
      </c>
      <c r="BC6" s="43">
        <f>AZ6-BA6</f>
        <v>0</v>
      </c>
      <c r="BD6" s="102" t="e">
        <f>BC6/AZ6</f>
        <v>#DIV/0!</v>
      </c>
      <c r="BE6" s="101"/>
      <c r="BF6" s="43"/>
      <c r="BG6" s="44" t="e">
        <f>BF6/BE6</f>
        <v>#DIV/0!</v>
      </c>
      <c r="BH6" s="43">
        <f>BE6-BF6</f>
        <v>0</v>
      </c>
      <c r="BI6" s="102" t="e">
        <f>BH6/BE6</f>
        <v>#DIV/0!</v>
      </c>
      <c r="BJ6" s="101">
        <f t="shared" si="36"/>
        <v>142</v>
      </c>
      <c r="BK6" s="43">
        <f t="shared" si="37"/>
        <v>49</v>
      </c>
      <c r="BL6" s="44">
        <f>BK6/BJ6</f>
        <v>0.34507042253521125</v>
      </c>
      <c r="BM6" s="43">
        <f>BJ6-BK6</f>
        <v>93</v>
      </c>
      <c r="BN6" s="102">
        <f>BM6/BJ6</f>
        <v>0.65492957746478875</v>
      </c>
    </row>
    <row r="7" spans="1:66" x14ac:dyDescent="0.3">
      <c r="A7" s="113" t="s">
        <v>18</v>
      </c>
      <c r="B7" s="103">
        <v>18</v>
      </c>
      <c r="C7" s="34">
        <v>3</v>
      </c>
      <c r="D7" s="35">
        <f t="shared" ref="D7:D8" si="41">C7/B7</f>
        <v>0.16666666666666666</v>
      </c>
      <c r="E7" s="34">
        <f t="shared" ref="E7:E8" si="42">B7-C7</f>
        <v>15</v>
      </c>
      <c r="F7" s="104">
        <f t="shared" ref="F7:F8" si="43">E7/B7</f>
        <v>0.83333333333333337</v>
      </c>
      <c r="G7" s="103">
        <v>17</v>
      </c>
      <c r="H7" s="34">
        <v>7</v>
      </c>
      <c r="I7" s="35">
        <f t="shared" ref="I7:I8" si="44">H7/G7</f>
        <v>0.41176470588235292</v>
      </c>
      <c r="J7" s="34">
        <f t="shared" ref="J7:J8" si="45">G7-H7</f>
        <v>10</v>
      </c>
      <c r="K7" s="104">
        <f t="shared" ref="K7:K8" si="46">J7/G7</f>
        <v>0.58823529411764708</v>
      </c>
      <c r="L7" s="103">
        <v>11</v>
      </c>
      <c r="M7" s="34">
        <v>0</v>
      </c>
      <c r="N7" s="35">
        <f t="shared" ref="N7:N8" si="47">M7/L7</f>
        <v>0</v>
      </c>
      <c r="O7" s="34">
        <f t="shared" ref="O7:O8" si="48">L7-M7</f>
        <v>11</v>
      </c>
      <c r="P7" s="104">
        <f t="shared" ref="P7:P8" si="49">O7/L7</f>
        <v>1</v>
      </c>
      <c r="Q7" s="103">
        <v>16</v>
      </c>
      <c r="R7" s="34">
        <v>2</v>
      </c>
      <c r="S7" s="35">
        <f t="shared" ref="S7:S8" si="50">R7/Q7</f>
        <v>0.125</v>
      </c>
      <c r="T7" s="34">
        <f t="shared" ref="T7:T8" si="51">Q7-R7</f>
        <v>14</v>
      </c>
      <c r="U7" s="104">
        <f t="shared" ref="U7:U8" si="52">T7/Q7</f>
        <v>0.875</v>
      </c>
      <c r="V7" s="103">
        <v>23</v>
      </c>
      <c r="W7" s="34">
        <v>1</v>
      </c>
      <c r="X7" s="35">
        <f t="shared" ref="X7:X8" si="53">W7/V7</f>
        <v>4.3478260869565216E-2</v>
      </c>
      <c r="Y7" s="34">
        <f t="shared" ref="Y7:Y8" si="54">V7-W7</f>
        <v>22</v>
      </c>
      <c r="Z7" s="104">
        <f t="shared" ref="Z7:Z8" si="55">Y7/V7</f>
        <v>0.95652173913043481</v>
      </c>
      <c r="AA7" s="103">
        <v>12</v>
      </c>
      <c r="AB7" s="34">
        <v>1</v>
      </c>
      <c r="AC7" s="35">
        <f t="shared" ref="AC7:AC8" si="56">AB7/AA7</f>
        <v>8.3333333333333329E-2</v>
      </c>
      <c r="AD7" s="34">
        <f t="shared" ref="AD7:AD8" si="57">AA7-AB7</f>
        <v>11</v>
      </c>
      <c r="AE7" s="104">
        <f t="shared" ref="AE7:AE8" si="58">AD7/AA7</f>
        <v>0.91666666666666663</v>
      </c>
      <c r="AF7" s="105">
        <v>16</v>
      </c>
      <c r="AG7" s="90">
        <v>2</v>
      </c>
      <c r="AH7" s="35">
        <f t="shared" ref="AH7:AH8" si="59">AG7/AF7</f>
        <v>0.125</v>
      </c>
      <c r="AI7" s="34">
        <f t="shared" ref="AI7:AI8" si="60">AF7-AG7</f>
        <v>14</v>
      </c>
      <c r="AJ7" s="104">
        <f t="shared" ref="AJ7:AJ8" si="61">AI7/AF7</f>
        <v>0.875</v>
      </c>
      <c r="AK7" s="105">
        <v>17</v>
      </c>
      <c r="AL7" s="90">
        <v>3</v>
      </c>
      <c r="AM7" s="35">
        <f t="shared" ref="AM7:AM8" si="62">AL7/AK7</f>
        <v>0.17647058823529413</v>
      </c>
      <c r="AN7" s="34">
        <f t="shared" ref="AN7:AN8" si="63">AK7-AL7</f>
        <v>14</v>
      </c>
      <c r="AO7" s="104">
        <f t="shared" ref="AO7:AO8" si="64">AN7/AK7</f>
        <v>0.82352941176470584</v>
      </c>
      <c r="AP7" s="105">
        <v>16</v>
      </c>
      <c r="AQ7" s="90">
        <v>4</v>
      </c>
      <c r="AR7" s="35">
        <f t="shared" ref="AR7:AR8" si="65">AQ7/AP7</f>
        <v>0.25</v>
      </c>
      <c r="AS7" s="34">
        <f t="shared" ref="AS7:AS8" si="66">AP7-AQ7</f>
        <v>12</v>
      </c>
      <c r="AT7" s="104">
        <f t="shared" ref="AT7:AT8" si="67">AS7/AP7</f>
        <v>0.75</v>
      </c>
      <c r="AU7" s="105">
        <v>5</v>
      </c>
      <c r="AV7" s="90">
        <v>1</v>
      </c>
      <c r="AW7" s="35">
        <f t="shared" ref="AW7:AW8" si="68">AV7/AU7</f>
        <v>0.2</v>
      </c>
      <c r="AX7" s="34">
        <f t="shared" ref="AX7:AX8" si="69">AU7-AV7</f>
        <v>4</v>
      </c>
      <c r="AY7" s="104">
        <f t="shared" ref="AY7:AY8" si="70">AX7/AU7</f>
        <v>0.8</v>
      </c>
      <c r="AZ7" s="105"/>
      <c r="BA7" s="90"/>
      <c r="BB7" s="35" t="e">
        <f t="shared" ref="BB7:BB8" si="71">BA7/AZ7</f>
        <v>#DIV/0!</v>
      </c>
      <c r="BC7" s="34">
        <f t="shared" ref="BC7:BC8" si="72">AZ7-BA7</f>
        <v>0</v>
      </c>
      <c r="BD7" s="104" t="e">
        <f t="shared" ref="BD7:BD8" si="73">BC7/AZ7</f>
        <v>#DIV/0!</v>
      </c>
      <c r="BE7" s="105"/>
      <c r="BF7" s="90"/>
      <c r="BG7" s="35" t="e">
        <f t="shared" ref="BG7:BG8" si="74">BF7/BE7</f>
        <v>#DIV/0!</v>
      </c>
      <c r="BH7" s="34">
        <f t="shared" ref="BH7:BH8" si="75">BE7-BF7</f>
        <v>0</v>
      </c>
      <c r="BI7" s="104" t="e">
        <f t="shared" ref="BI7:BI8" si="76">BH7/BE7</f>
        <v>#DIV/0!</v>
      </c>
      <c r="BJ7" s="105">
        <f t="shared" si="36"/>
        <v>151</v>
      </c>
      <c r="BK7" s="90">
        <f t="shared" si="37"/>
        <v>24</v>
      </c>
      <c r="BL7" s="35">
        <f t="shared" ref="BL7:BL8" si="77">BK7/BJ7</f>
        <v>0.15894039735099338</v>
      </c>
      <c r="BM7" s="34">
        <f t="shared" ref="BM7:BM8" si="78">BJ7-BK7</f>
        <v>127</v>
      </c>
      <c r="BN7" s="104">
        <f t="shared" ref="BN7:BN8" si="79">BM7/BJ7</f>
        <v>0.84105960264900659</v>
      </c>
    </row>
    <row r="8" spans="1:66" x14ac:dyDescent="0.3">
      <c r="A8" s="113" t="s">
        <v>23</v>
      </c>
      <c r="B8" s="103">
        <v>36</v>
      </c>
      <c r="C8" s="34">
        <v>5</v>
      </c>
      <c r="D8" s="35">
        <f t="shared" si="41"/>
        <v>0.1388888888888889</v>
      </c>
      <c r="E8" s="34">
        <f t="shared" si="42"/>
        <v>31</v>
      </c>
      <c r="F8" s="104">
        <f t="shared" si="43"/>
        <v>0.86111111111111116</v>
      </c>
      <c r="G8" s="103">
        <v>19</v>
      </c>
      <c r="H8" s="34">
        <v>4</v>
      </c>
      <c r="I8" s="35">
        <f t="shared" si="44"/>
        <v>0.21052631578947367</v>
      </c>
      <c r="J8" s="34">
        <f t="shared" si="45"/>
        <v>15</v>
      </c>
      <c r="K8" s="104">
        <f t="shared" si="46"/>
        <v>0.78947368421052633</v>
      </c>
      <c r="L8" s="103">
        <v>18</v>
      </c>
      <c r="M8" s="34">
        <v>5</v>
      </c>
      <c r="N8" s="35">
        <f t="shared" si="47"/>
        <v>0.27777777777777779</v>
      </c>
      <c r="O8" s="34">
        <f t="shared" si="48"/>
        <v>13</v>
      </c>
      <c r="P8" s="104">
        <f t="shared" si="49"/>
        <v>0.72222222222222221</v>
      </c>
      <c r="Q8" s="103">
        <v>31</v>
      </c>
      <c r="R8" s="34">
        <v>7</v>
      </c>
      <c r="S8" s="35">
        <f t="shared" si="50"/>
        <v>0.22580645161290322</v>
      </c>
      <c r="T8" s="34">
        <f t="shared" si="51"/>
        <v>24</v>
      </c>
      <c r="U8" s="104">
        <f t="shared" si="52"/>
        <v>0.77419354838709675</v>
      </c>
      <c r="V8" s="103">
        <v>35</v>
      </c>
      <c r="W8" s="34">
        <v>9</v>
      </c>
      <c r="X8" s="35">
        <f t="shared" si="53"/>
        <v>0.25714285714285712</v>
      </c>
      <c r="Y8" s="34">
        <f t="shared" si="54"/>
        <v>26</v>
      </c>
      <c r="Z8" s="104">
        <f t="shared" si="55"/>
        <v>0.74285714285714288</v>
      </c>
      <c r="AA8" s="103">
        <v>28</v>
      </c>
      <c r="AB8" s="34">
        <v>4</v>
      </c>
      <c r="AC8" s="35">
        <f t="shared" si="56"/>
        <v>0.14285714285714285</v>
      </c>
      <c r="AD8" s="34">
        <f t="shared" si="57"/>
        <v>24</v>
      </c>
      <c r="AE8" s="104">
        <f t="shared" si="58"/>
        <v>0.8571428571428571</v>
      </c>
      <c r="AF8" s="105">
        <v>32</v>
      </c>
      <c r="AG8" s="90">
        <v>6</v>
      </c>
      <c r="AH8" s="35">
        <f t="shared" si="59"/>
        <v>0.1875</v>
      </c>
      <c r="AI8" s="34">
        <f t="shared" si="60"/>
        <v>26</v>
      </c>
      <c r="AJ8" s="104">
        <f t="shared" si="61"/>
        <v>0.8125</v>
      </c>
      <c r="AK8" s="105">
        <v>44</v>
      </c>
      <c r="AL8" s="90">
        <v>7</v>
      </c>
      <c r="AM8" s="35">
        <f t="shared" si="62"/>
        <v>0.15909090909090909</v>
      </c>
      <c r="AN8" s="34">
        <f t="shared" si="63"/>
        <v>37</v>
      </c>
      <c r="AO8" s="104">
        <f t="shared" si="64"/>
        <v>0.84090909090909094</v>
      </c>
      <c r="AP8" s="105">
        <v>36</v>
      </c>
      <c r="AQ8" s="90">
        <v>7</v>
      </c>
      <c r="AR8" s="35">
        <f t="shared" si="65"/>
        <v>0.19444444444444445</v>
      </c>
      <c r="AS8" s="34">
        <f t="shared" si="66"/>
        <v>29</v>
      </c>
      <c r="AT8" s="104">
        <f t="shared" si="67"/>
        <v>0.80555555555555558</v>
      </c>
      <c r="AU8" s="105">
        <v>11</v>
      </c>
      <c r="AV8" s="90">
        <v>4</v>
      </c>
      <c r="AW8" s="35">
        <f t="shared" si="68"/>
        <v>0.36363636363636365</v>
      </c>
      <c r="AX8" s="34">
        <f t="shared" si="69"/>
        <v>7</v>
      </c>
      <c r="AY8" s="104">
        <f t="shared" si="70"/>
        <v>0.63636363636363635</v>
      </c>
      <c r="AZ8" s="105"/>
      <c r="BA8" s="90"/>
      <c r="BB8" s="35" t="e">
        <f t="shared" si="71"/>
        <v>#DIV/0!</v>
      </c>
      <c r="BC8" s="34">
        <f t="shared" si="72"/>
        <v>0</v>
      </c>
      <c r="BD8" s="104" t="e">
        <f t="shared" si="73"/>
        <v>#DIV/0!</v>
      </c>
      <c r="BE8" s="105"/>
      <c r="BF8" s="90"/>
      <c r="BG8" s="35" t="e">
        <f t="shared" si="74"/>
        <v>#DIV/0!</v>
      </c>
      <c r="BH8" s="34">
        <f t="shared" si="75"/>
        <v>0</v>
      </c>
      <c r="BI8" s="104" t="e">
        <f t="shared" si="76"/>
        <v>#DIV/0!</v>
      </c>
      <c r="BJ8" s="105">
        <f t="shared" si="36"/>
        <v>290</v>
      </c>
      <c r="BK8" s="90">
        <f t="shared" si="37"/>
        <v>58</v>
      </c>
      <c r="BL8" s="35">
        <f t="shared" si="77"/>
        <v>0.2</v>
      </c>
      <c r="BM8" s="34">
        <f t="shared" si="78"/>
        <v>232</v>
      </c>
      <c r="BN8" s="104">
        <f t="shared" si="79"/>
        <v>0.8</v>
      </c>
    </row>
    <row r="9" spans="1:66" x14ac:dyDescent="0.3">
      <c r="A9" s="112" t="s">
        <v>24</v>
      </c>
      <c r="B9" s="101">
        <v>31</v>
      </c>
      <c r="C9" s="43">
        <v>7</v>
      </c>
      <c r="D9" s="44">
        <f>C9/B9</f>
        <v>0.22580645161290322</v>
      </c>
      <c r="E9" s="43">
        <f>B9-C9</f>
        <v>24</v>
      </c>
      <c r="F9" s="102">
        <f>E9/B9</f>
        <v>0.77419354838709675</v>
      </c>
      <c r="G9" s="101">
        <v>17</v>
      </c>
      <c r="H9" s="43">
        <v>6</v>
      </c>
      <c r="I9" s="44">
        <f>H9/G9</f>
        <v>0.35294117647058826</v>
      </c>
      <c r="J9" s="43">
        <f>G9-H9</f>
        <v>11</v>
      </c>
      <c r="K9" s="102">
        <f>J9/G9</f>
        <v>0.6470588235294118</v>
      </c>
      <c r="L9" s="101">
        <v>32</v>
      </c>
      <c r="M9" s="43">
        <v>16</v>
      </c>
      <c r="N9" s="44">
        <f>M9/L9</f>
        <v>0.5</v>
      </c>
      <c r="O9" s="43">
        <f>L9-M9</f>
        <v>16</v>
      </c>
      <c r="P9" s="102">
        <f>O9/L9</f>
        <v>0.5</v>
      </c>
      <c r="Q9" s="101">
        <v>34</v>
      </c>
      <c r="R9" s="43">
        <v>8</v>
      </c>
      <c r="S9" s="44">
        <f>R9/Q9</f>
        <v>0.23529411764705882</v>
      </c>
      <c r="T9" s="43">
        <f>Q9-R9</f>
        <v>26</v>
      </c>
      <c r="U9" s="102">
        <f>T9/Q9</f>
        <v>0.76470588235294112</v>
      </c>
      <c r="V9" s="101">
        <v>30</v>
      </c>
      <c r="W9" s="43">
        <v>10</v>
      </c>
      <c r="X9" s="44">
        <f>W9/V9</f>
        <v>0.33333333333333331</v>
      </c>
      <c r="Y9" s="43">
        <f>V9-W9</f>
        <v>20</v>
      </c>
      <c r="Z9" s="102">
        <f>Y9/V9</f>
        <v>0.66666666666666663</v>
      </c>
      <c r="AA9" s="101">
        <v>20</v>
      </c>
      <c r="AB9" s="43">
        <v>14</v>
      </c>
      <c r="AC9" s="44">
        <f>AB9/AA9</f>
        <v>0.7</v>
      </c>
      <c r="AD9" s="43">
        <f>AA9-AB9</f>
        <v>6</v>
      </c>
      <c r="AE9" s="102">
        <f>AD9/AA9</f>
        <v>0.3</v>
      </c>
      <c r="AF9" s="101">
        <v>19</v>
      </c>
      <c r="AG9" s="43">
        <v>11</v>
      </c>
      <c r="AH9" s="44">
        <f>AG9/AF9</f>
        <v>0.57894736842105265</v>
      </c>
      <c r="AI9" s="43">
        <f>AF9-AG9</f>
        <v>8</v>
      </c>
      <c r="AJ9" s="102">
        <f>AI9/AF9</f>
        <v>0.42105263157894735</v>
      </c>
      <c r="AK9" s="101">
        <v>26</v>
      </c>
      <c r="AL9" s="43">
        <v>5</v>
      </c>
      <c r="AM9" s="44">
        <f>AL9/AK9</f>
        <v>0.19230769230769232</v>
      </c>
      <c r="AN9" s="43">
        <f>AK9-AL9</f>
        <v>21</v>
      </c>
      <c r="AO9" s="102">
        <f>AN9/AK9</f>
        <v>0.80769230769230771</v>
      </c>
      <c r="AP9" s="101">
        <v>27</v>
      </c>
      <c r="AQ9" s="43">
        <v>12</v>
      </c>
      <c r="AR9" s="44">
        <f>AQ9/AP9</f>
        <v>0.44444444444444442</v>
      </c>
      <c r="AS9" s="43">
        <f>AP9-AQ9</f>
        <v>15</v>
      </c>
      <c r="AT9" s="102">
        <f>AS9/AP9</f>
        <v>0.55555555555555558</v>
      </c>
      <c r="AU9" s="101">
        <v>12</v>
      </c>
      <c r="AV9" s="43">
        <v>9</v>
      </c>
      <c r="AW9" s="44">
        <f>AV9/AU9</f>
        <v>0.75</v>
      </c>
      <c r="AX9" s="43">
        <f>AU9-AV9</f>
        <v>3</v>
      </c>
      <c r="AY9" s="102">
        <f>AX9/AU9</f>
        <v>0.25</v>
      </c>
      <c r="AZ9" s="101"/>
      <c r="BA9" s="43"/>
      <c r="BB9" s="44" t="e">
        <f>BA9/AZ9</f>
        <v>#DIV/0!</v>
      </c>
      <c r="BC9" s="43">
        <f>AZ9-BA9</f>
        <v>0</v>
      </c>
      <c r="BD9" s="102" t="e">
        <f>BC9/AZ9</f>
        <v>#DIV/0!</v>
      </c>
      <c r="BE9" s="101"/>
      <c r="BF9" s="43"/>
      <c r="BG9" s="44" t="e">
        <f>BF9/BE9</f>
        <v>#DIV/0!</v>
      </c>
      <c r="BH9" s="43">
        <f>BE9-BF9</f>
        <v>0</v>
      </c>
      <c r="BI9" s="102" t="e">
        <f>BH9/BE9</f>
        <v>#DIV/0!</v>
      </c>
      <c r="BJ9" s="101">
        <f t="shared" si="36"/>
        <v>248</v>
      </c>
      <c r="BK9" s="43">
        <f t="shared" si="37"/>
        <v>98</v>
      </c>
      <c r="BL9" s="44">
        <f>BK9/BJ9</f>
        <v>0.39516129032258063</v>
      </c>
      <c r="BM9" s="43">
        <f>BJ9-BK9</f>
        <v>150</v>
      </c>
      <c r="BN9" s="102">
        <f>BM9/BJ9</f>
        <v>0.60483870967741937</v>
      </c>
    </row>
    <row r="10" spans="1:66" x14ac:dyDescent="0.3">
      <c r="A10" s="112" t="s">
        <v>15</v>
      </c>
      <c r="B10" s="101">
        <v>10</v>
      </c>
      <c r="C10" s="43">
        <v>2</v>
      </c>
      <c r="D10" s="44">
        <f t="shared" ref="D10" si="80">C10/B10</f>
        <v>0.2</v>
      </c>
      <c r="E10" s="43">
        <f t="shared" ref="E10" si="81">B10-C10</f>
        <v>8</v>
      </c>
      <c r="F10" s="102">
        <f t="shared" ref="F10" si="82">E10/B10</f>
        <v>0.8</v>
      </c>
      <c r="G10" s="101">
        <v>13</v>
      </c>
      <c r="H10" s="43">
        <v>3</v>
      </c>
      <c r="I10" s="44">
        <f t="shared" ref="I10" si="83">H10/G10</f>
        <v>0.23076923076923078</v>
      </c>
      <c r="J10" s="43">
        <f t="shared" ref="J10" si="84">G10-H10</f>
        <v>10</v>
      </c>
      <c r="K10" s="102">
        <f t="shared" ref="K10" si="85">J10/G10</f>
        <v>0.76923076923076927</v>
      </c>
      <c r="L10" s="101">
        <v>9</v>
      </c>
      <c r="M10" s="43">
        <v>1</v>
      </c>
      <c r="N10" s="44">
        <f t="shared" ref="N10" si="86">M10/L10</f>
        <v>0.1111111111111111</v>
      </c>
      <c r="O10" s="43">
        <f t="shared" ref="O10" si="87">L10-M10</f>
        <v>8</v>
      </c>
      <c r="P10" s="102">
        <f t="shared" ref="P10" si="88">O10/L10</f>
        <v>0.88888888888888884</v>
      </c>
      <c r="Q10" s="101">
        <v>13</v>
      </c>
      <c r="R10" s="43">
        <v>2</v>
      </c>
      <c r="S10" s="44">
        <f t="shared" ref="S10" si="89">R10/Q10</f>
        <v>0.15384615384615385</v>
      </c>
      <c r="T10" s="43">
        <f t="shared" ref="T10" si="90">Q10-R10</f>
        <v>11</v>
      </c>
      <c r="U10" s="102">
        <f t="shared" ref="U10" si="91">T10/Q10</f>
        <v>0.84615384615384615</v>
      </c>
      <c r="V10" s="101">
        <v>11</v>
      </c>
      <c r="W10" s="43">
        <v>2</v>
      </c>
      <c r="X10" s="44">
        <f t="shared" ref="X10" si="92">W10/V10</f>
        <v>0.18181818181818182</v>
      </c>
      <c r="Y10" s="43">
        <f t="shared" ref="Y10" si="93">V10-W10</f>
        <v>9</v>
      </c>
      <c r="Z10" s="102">
        <f t="shared" ref="Z10" si="94">Y10/V10</f>
        <v>0.81818181818181823</v>
      </c>
      <c r="AA10" s="101">
        <v>11</v>
      </c>
      <c r="AB10" s="43">
        <v>3</v>
      </c>
      <c r="AC10" s="44">
        <f t="shared" ref="AC10" si="95">AB10/AA10</f>
        <v>0.27272727272727271</v>
      </c>
      <c r="AD10" s="43">
        <f t="shared" ref="AD10" si="96">AA10-AB10</f>
        <v>8</v>
      </c>
      <c r="AE10" s="102">
        <f t="shared" ref="AE10" si="97">AD10/AA10</f>
        <v>0.72727272727272729</v>
      </c>
      <c r="AF10" s="101">
        <v>6</v>
      </c>
      <c r="AG10" s="43">
        <v>6</v>
      </c>
      <c r="AH10" s="44">
        <f t="shared" ref="AH10" si="98">AG10/AF10</f>
        <v>1</v>
      </c>
      <c r="AI10" s="43">
        <f t="shared" ref="AI10" si="99">AF10-AG10</f>
        <v>0</v>
      </c>
      <c r="AJ10" s="102">
        <f t="shared" ref="AJ10" si="100">AI10/AF10</f>
        <v>0</v>
      </c>
      <c r="AK10" s="101">
        <v>7</v>
      </c>
      <c r="AL10" s="43">
        <v>4</v>
      </c>
      <c r="AM10" s="44">
        <f t="shared" ref="AM10" si="101">AL10/AK10</f>
        <v>0.5714285714285714</v>
      </c>
      <c r="AN10" s="43">
        <f t="shared" ref="AN10" si="102">AK10-AL10</f>
        <v>3</v>
      </c>
      <c r="AO10" s="102">
        <f t="shared" ref="AO10" si="103">AN10/AK10</f>
        <v>0.42857142857142855</v>
      </c>
      <c r="AP10" s="101">
        <v>6</v>
      </c>
      <c r="AQ10" s="43">
        <v>9</v>
      </c>
      <c r="AR10" s="44">
        <f t="shared" ref="AR10" si="104">AQ10/AP10</f>
        <v>1.5</v>
      </c>
      <c r="AS10" s="43">
        <f t="shared" ref="AS10" si="105">AP10-AQ10</f>
        <v>-3</v>
      </c>
      <c r="AT10" s="102">
        <f t="shared" ref="AT10" si="106">AS10/AP10</f>
        <v>-0.5</v>
      </c>
      <c r="AU10" s="101">
        <v>8</v>
      </c>
      <c r="AV10" s="43">
        <v>2</v>
      </c>
      <c r="AW10" s="44">
        <f t="shared" ref="AW10" si="107">AV10/AU10</f>
        <v>0.25</v>
      </c>
      <c r="AX10" s="43">
        <f t="shared" ref="AX10" si="108">AU10-AV10</f>
        <v>6</v>
      </c>
      <c r="AY10" s="102">
        <f t="shared" ref="AY10" si="109">AX10/AU10</f>
        <v>0.75</v>
      </c>
      <c r="AZ10" s="101"/>
      <c r="BA10" s="43"/>
      <c r="BB10" s="44" t="e">
        <f t="shared" ref="BB10" si="110">BA10/AZ10</f>
        <v>#DIV/0!</v>
      </c>
      <c r="BC10" s="43">
        <f t="shared" ref="BC10" si="111">AZ10-BA10</f>
        <v>0</v>
      </c>
      <c r="BD10" s="102" t="e">
        <f t="shared" ref="BD10" si="112">BC10/AZ10</f>
        <v>#DIV/0!</v>
      </c>
      <c r="BE10" s="101"/>
      <c r="BF10" s="43"/>
      <c r="BG10" s="44" t="e">
        <f t="shared" ref="BG10" si="113">BF10/BE10</f>
        <v>#DIV/0!</v>
      </c>
      <c r="BH10" s="43">
        <f t="shared" ref="BH10" si="114">BE10-BF10</f>
        <v>0</v>
      </c>
      <c r="BI10" s="102" t="e">
        <f t="shared" ref="BI10" si="115">BH10/BE10</f>
        <v>#DIV/0!</v>
      </c>
      <c r="BJ10" s="101">
        <f t="shared" si="36"/>
        <v>94</v>
      </c>
      <c r="BK10" s="43">
        <f t="shared" si="37"/>
        <v>34</v>
      </c>
      <c r="BL10" s="44">
        <f t="shared" ref="BL10" si="116">BK10/BJ10</f>
        <v>0.36170212765957449</v>
      </c>
      <c r="BM10" s="43">
        <f t="shared" ref="BM10" si="117">BJ10-BK10</f>
        <v>60</v>
      </c>
      <c r="BN10" s="102">
        <f t="shared" ref="BN10" si="118">BM10/BJ10</f>
        <v>0.63829787234042556</v>
      </c>
    </row>
    <row r="11" spans="1:66" x14ac:dyDescent="0.3">
      <c r="A11" s="114" t="s">
        <v>86</v>
      </c>
      <c r="B11" s="105"/>
      <c r="C11" s="90"/>
      <c r="D11" s="63"/>
      <c r="E11" s="90"/>
      <c r="F11" s="106"/>
      <c r="G11" s="105"/>
      <c r="H11" s="90">
        <v>3</v>
      </c>
      <c r="I11" s="63"/>
      <c r="J11" s="90"/>
      <c r="K11" s="106"/>
      <c r="L11" s="105"/>
      <c r="M11" s="90">
        <v>3</v>
      </c>
      <c r="N11" s="63"/>
      <c r="O11" s="90"/>
      <c r="P11" s="106"/>
      <c r="Q11" s="105"/>
      <c r="R11" s="90">
        <v>2</v>
      </c>
      <c r="S11" s="63"/>
      <c r="T11" s="90"/>
      <c r="U11" s="106"/>
      <c r="V11" s="105"/>
      <c r="W11" s="90">
        <v>5</v>
      </c>
      <c r="X11" s="63"/>
      <c r="Y11" s="90"/>
      <c r="Z11" s="106"/>
      <c r="AA11" s="105"/>
      <c r="AB11" s="90">
        <v>4</v>
      </c>
      <c r="AC11" s="63"/>
      <c r="AD11" s="90"/>
      <c r="AE11" s="106"/>
      <c r="AF11" s="105"/>
      <c r="AG11" s="90">
        <v>7</v>
      </c>
      <c r="AH11" s="35"/>
      <c r="AI11" s="90"/>
      <c r="AJ11" s="106"/>
      <c r="AK11" s="105"/>
      <c r="AL11" s="90">
        <v>4</v>
      </c>
      <c r="AM11" s="35"/>
      <c r="AN11" s="90"/>
      <c r="AO11" s="106"/>
      <c r="AP11" s="105"/>
      <c r="AQ11" s="90">
        <v>2</v>
      </c>
      <c r="AR11" s="35"/>
      <c r="AS11" s="90"/>
      <c r="AT11" s="106"/>
      <c r="AU11" s="105"/>
      <c r="AV11" s="90">
        <v>2</v>
      </c>
      <c r="AW11" s="35"/>
      <c r="AX11" s="90"/>
      <c r="AY11" s="106"/>
      <c r="AZ11" s="105"/>
      <c r="BA11" s="90"/>
      <c r="BB11" s="35"/>
      <c r="BC11" s="90"/>
      <c r="BD11" s="106"/>
      <c r="BE11" s="105"/>
      <c r="BF11" s="90"/>
      <c r="BG11" s="35"/>
      <c r="BH11" s="90"/>
      <c r="BI11" s="106"/>
      <c r="BJ11" s="105"/>
      <c r="BK11" s="90">
        <f t="shared" si="37"/>
        <v>32</v>
      </c>
      <c r="BL11" s="35"/>
      <c r="BM11" s="90"/>
      <c r="BN11" s="106"/>
    </row>
    <row r="12" spans="1:66" ht="15" thickBot="1" x14ac:dyDescent="0.35">
      <c r="A12" s="115" t="s">
        <v>8</v>
      </c>
      <c r="B12" s="107">
        <f>SUM(B4:B10)</f>
        <v>148</v>
      </c>
      <c r="C12" s="108">
        <f>SUM(C4:C10)</f>
        <v>30</v>
      </c>
      <c r="D12" s="109">
        <f>C12/B12</f>
        <v>0.20270270270270271</v>
      </c>
      <c r="E12" s="108">
        <f>B12-C12</f>
        <v>118</v>
      </c>
      <c r="F12" s="110">
        <f>E12/B12</f>
        <v>0.79729729729729726</v>
      </c>
      <c r="G12" s="107">
        <f>SUM(G4:G10)</f>
        <v>117</v>
      </c>
      <c r="H12" s="108">
        <f>SUM(H4:H10)</f>
        <v>37</v>
      </c>
      <c r="I12" s="109">
        <f>H12/G12</f>
        <v>0.31623931623931623</v>
      </c>
      <c r="J12" s="108">
        <f>G12-H12</f>
        <v>80</v>
      </c>
      <c r="K12" s="110">
        <f>J12/G12</f>
        <v>0.68376068376068377</v>
      </c>
      <c r="L12" s="107">
        <f>SUM(L4:L10)</f>
        <v>121</v>
      </c>
      <c r="M12" s="108">
        <f>SUM(M4:M10)</f>
        <v>39</v>
      </c>
      <c r="N12" s="109">
        <f>M12/L12</f>
        <v>0.32231404958677684</v>
      </c>
      <c r="O12" s="108">
        <f>L12-M12</f>
        <v>82</v>
      </c>
      <c r="P12" s="110">
        <f>O12/L12</f>
        <v>0.6776859504132231</v>
      </c>
      <c r="Q12" s="107">
        <f>SUM(Q4:Q10)</f>
        <v>140</v>
      </c>
      <c r="R12" s="108">
        <f>SUM(R4:R10)</f>
        <v>36</v>
      </c>
      <c r="S12" s="109">
        <f>R12/Q12</f>
        <v>0.25714285714285712</v>
      </c>
      <c r="T12" s="108">
        <f>Q12-R12</f>
        <v>104</v>
      </c>
      <c r="U12" s="110">
        <f>T12/Q12</f>
        <v>0.74285714285714288</v>
      </c>
      <c r="V12" s="107">
        <f>SUM(V4:V10)</f>
        <v>143</v>
      </c>
      <c r="W12" s="108">
        <f>SUM(W4:W10)</f>
        <v>34</v>
      </c>
      <c r="X12" s="109">
        <f>W12/V12</f>
        <v>0.23776223776223776</v>
      </c>
      <c r="Y12" s="108">
        <f>V12-W12</f>
        <v>109</v>
      </c>
      <c r="Z12" s="110">
        <f>Y12/V12</f>
        <v>0.76223776223776218</v>
      </c>
      <c r="AA12" s="107">
        <f>SUM(AA4:AA10)</f>
        <v>123</v>
      </c>
      <c r="AB12" s="108">
        <f>SUM(AB4:AB10)</f>
        <v>34</v>
      </c>
      <c r="AC12" s="109">
        <f>AB12/AA12</f>
        <v>0.27642276422764228</v>
      </c>
      <c r="AD12" s="108">
        <f>AA12-AB12</f>
        <v>89</v>
      </c>
      <c r="AE12" s="110">
        <f>AD12/AA12</f>
        <v>0.72357723577235777</v>
      </c>
      <c r="AF12" s="107">
        <f>SUM(AF4:AF10)</f>
        <v>120</v>
      </c>
      <c r="AG12" s="108">
        <f>SUM(AG4:AG10)</f>
        <v>33</v>
      </c>
      <c r="AH12" s="109">
        <f t="shared" ref="AH12" si="119">AG12/AF12</f>
        <v>0.27500000000000002</v>
      </c>
      <c r="AI12" s="108">
        <f t="shared" ref="AI12" si="120">AF12-AG12</f>
        <v>87</v>
      </c>
      <c r="AJ12" s="110">
        <f t="shared" ref="AJ12" si="121">AI12/AF12</f>
        <v>0.72499999999999998</v>
      </c>
      <c r="AK12" s="107">
        <f>SUM(AK4:AK10)</f>
        <v>138</v>
      </c>
      <c r="AL12" s="108">
        <f>SUM(AL4:AL10)</f>
        <v>36</v>
      </c>
      <c r="AM12" s="109">
        <f t="shared" ref="AM12" si="122">AL12/AK12</f>
        <v>0.2608695652173913</v>
      </c>
      <c r="AN12" s="108">
        <f t="shared" ref="AN12" si="123">AK12-AL12</f>
        <v>102</v>
      </c>
      <c r="AO12" s="110">
        <f t="shared" ref="AO12" si="124">AN12/AK12</f>
        <v>0.73913043478260865</v>
      </c>
      <c r="AP12" s="107">
        <f>SUM(AP4:AP10)</f>
        <v>143</v>
      </c>
      <c r="AQ12" s="108">
        <f>SUM(AQ4:AQ10)</f>
        <v>53</v>
      </c>
      <c r="AR12" s="109">
        <f t="shared" ref="AR12" si="125">AQ12/AP12</f>
        <v>0.37062937062937062</v>
      </c>
      <c r="AS12" s="108">
        <f t="shared" ref="AS12" si="126">AP12-AQ12</f>
        <v>90</v>
      </c>
      <c r="AT12" s="110">
        <f t="shared" ref="AT12" si="127">AS12/AP12</f>
        <v>0.62937062937062938</v>
      </c>
      <c r="AU12" s="107">
        <f>SUM(AU4:AU10)</f>
        <v>69</v>
      </c>
      <c r="AV12" s="108">
        <f>SUM(AV4:AV10)</f>
        <v>21</v>
      </c>
      <c r="AW12" s="109">
        <f t="shared" ref="AW12" si="128">AV12/AU12</f>
        <v>0.30434782608695654</v>
      </c>
      <c r="AX12" s="108">
        <f t="shared" ref="AX12" si="129">AU12-AV12</f>
        <v>48</v>
      </c>
      <c r="AY12" s="110">
        <f t="shared" ref="AY12" si="130">AX12/AU12</f>
        <v>0.69565217391304346</v>
      </c>
      <c r="AZ12" s="107">
        <f>SUM(AZ4:AZ10)</f>
        <v>0</v>
      </c>
      <c r="BA12" s="108">
        <f>SUM(BA4:BA10)</f>
        <v>0</v>
      </c>
      <c r="BB12" s="109" t="e">
        <f t="shared" ref="BB12" si="131">BA12/AZ12</f>
        <v>#DIV/0!</v>
      </c>
      <c r="BC12" s="108">
        <f t="shared" ref="BC12" si="132">AZ12-BA12</f>
        <v>0</v>
      </c>
      <c r="BD12" s="110" t="e">
        <f t="shared" ref="BD12" si="133">BC12/AZ12</f>
        <v>#DIV/0!</v>
      </c>
      <c r="BE12" s="107">
        <f>SUM(BE4:BE10)</f>
        <v>0</v>
      </c>
      <c r="BF12" s="108">
        <f>SUM(BF4:BF10)</f>
        <v>0</v>
      </c>
      <c r="BG12" s="109" t="e">
        <f t="shared" ref="BG12" si="134">BF12/BE12</f>
        <v>#DIV/0!</v>
      </c>
      <c r="BH12" s="108">
        <f t="shared" ref="BH12" si="135">BE12-BF12</f>
        <v>0</v>
      </c>
      <c r="BI12" s="110" t="e">
        <f t="shared" ref="BI12" si="136">BH12/BE12</f>
        <v>#DIV/0!</v>
      </c>
      <c r="BJ12" s="107">
        <f>SUM(BJ4:BJ10)</f>
        <v>1262</v>
      </c>
      <c r="BK12" s="108">
        <f>SUM(BK4:BK10)</f>
        <v>353</v>
      </c>
      <c r="BL12" s="109">
        <f t="shared" ref="BL12" si="137">BK12/BJ12</f>
        <v>0.2797147385103011</v>
      </c>
      <c r="BM12" s="108">
        <f t="shared" ref="BM12" si="138">BJ12-BK12</f>
        <v>909</v>
      </c>
      <c r="BN12" s="110">
        <f t="shared" ref="BN12" si="139">BM12/BJ12</f>
        <v>0.72028526148969885</v>
      </c>
    </row>
    <row r="13" spans="1:66" ht="15" thickBot="1" x14ac:dyDescent="0.35"/>
    <row r="14" spans="1:66" ht="15" thickBot="1" x14ac:dyDescent="0.35">
      <c r="A14" s="153" t="s">
        <v>103</v>
      </c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</row>
    <row r="15" spans="1:66" x14ac:dyDescent="0.3">
      <c r="A15" s="116"/>
      <c r="B15" s="155" t="s">
        <v>29</v>
      </c>
      <c r="C15" s="156"/>
      <c r="D15" s="156"/>
      <c r="E15" s="156"/>
      <c r="F15" s="157"/>
      <c r="G15" s="155" t="s">
        <v>17</v>
      </c>
      <c r="H15" s="156"/>
      <c r="I15" s="156"/>
      <c r="J15" s="156"/>
      <c r="K15" s="157"/>
      <c r="L15" s="155" t="s">
        <v>30</v>
      </c>
      <c r="M15" s="156"/>
      <c r="N15" s="156"/>
      <c r="O15" s="156"/>
      <c r="P15" s="157"/>
      <c r="Q15" s="155" t="s">
        <v>14</v>
      </c>
      <c r="R15" s="156"/>
      <c r="S15" s="156"/>
      <c r="T15" s="156"/>
      <c r="U15" s="157"/>
      <c r="V15" s="155" t="s">
        <v>20</v>
      </c>
      <c r="W15" s="156"/>
      <c r="X15" s="156"/>
      <c r="Y15" s="156"/>
      <c r="Z15" s="157"/>
      <c r="AA15" s="155" t="s">
        <v>21</v>
      </c>
      <c r="AB15" s="156"/>
      <c r="AC15" s="156"/>
      <c r="AD15" s="156"/>
      <c r="AE15" s="157"/>
      <c r="AF15" s="155" t="s">
        <v>31</v>
      </c>
      <c r="AG15" s="156"/>
      <c r="AH15" s="156"/>
      <c r="AI15" s="156"/>
      <c r="AJ15" s="157"/>
      <c r="AK15" s="155" t="s">
        <v>32</v>
      </c>
      <c r="AL15" s="156"/>
      <c r="AM15" s="156"/>
      <c r="AN15" s="156"/>
      <c r="AO15" s="157"/>
      <c r="AP15" s="155" t="s">
        <v>33</v>
      </c>
      <c r="AQ15" s="156"/>
      <c r="AR15" s="156"/>
      <c r="AS15" s="156"/>
      <c r="AT15" s="157"/>
      <c r="AU15" s="155" t="s">
        <v>34</v>
      </c>
      <c r="AV15" s="156"/>
      <c r="AW15" s="156"/>
      <c r="AX15" s="156"/>
      <c r="AY15" s="157"/>
      <c r="AZ15" s="155" t="s">
        <v>35</v>
      </c>
      <c r="BA15" s="156"/>
      <c r="BB15" s="156"/>
      <c r="BC15" s="156"/>
      <c r="BD15" s="157"/>
      <c r="BE15" s="155" t="s">
        <v>36</v>
      </c>
      <c r="BF15" s="156"/>
      <c r="BG15" s="156"/>
      <c r="BH15" s="156"/>
      <c r="BI15" s="157"/>
      <c r="BJ15" s="155">
        <v>2023</v>
      </c>
      <c r="BK15" s="156"/>
      <c r="BL15" s="156"/>
      <c r="BM15" s="156"/>
      <c r="BN15" s="157"/>
    </row>
    <row r="16" spans="1:66" x14ac:dyDescent="0.3">
      <c r="A16" s="111" t="s">
        <v>28</v>
      </c>
      <c r="B16" s="99" t="s">
        <v>8</v>
      </c>
      <c r="C16" s="33" t="s">
        <v>27</v>
      </c>
      <c r="D16" s="33" t="s">
        <v>22</v>
      </c>
      <c r="E16" s="33" t="s">
        <v>25</v>
      </c>
      <c r="F16" s="100" t="s">
        <v>22</v>
      </c>
      <c r="G16" s="99" t="s">
        <v>8</v>
      </c>
      <c r="H16" s="33" t="s">
        <v>27</v>
      </c>
      <c r="I16" s="33" t="s">
        <v>22</v>
      </c>
      <c r="J16" s="33" t="s">
        <v>25</v>
      </c>
      <c r="K16" s="100" t="s">
        <v>22</v>
      </c>
      <c r="L16" s="99" t="s">
        <v>8</v>
      </c>
      <c r="M16" s="33" t="s">
        <v>27</v>
      </c>
      <c r="N16" s="33" t="s">
        <v>22</v>
      </c>
      <c r="O16" s="33" t="s">
        <v>25</v>
      </c>
      <c r="P16" s="100" t="s">
        <v>22</v>
      </c>
      <c r="Q16" s="99" t="s">
        <v>8</v>
      </c>
      <c r="R16" s="33" t="s">
        <v>27</v>
      </c>
      <c r="S16" s="33" t="s">
        <v>22</v>
      </c>
      <c r="T16" s="33" t="s">
        <v>25</v>
      </c>
      <c r="U16" s="100" t="s">
        <v>22</v>
      </c>
      <c r="V16" s="99" t="s">
        <v>8</v>
      </c>
      <c r="W16" s="33" t="s">
        <v>27</v>
      </c>
      <c r="X16" s="33" t="s">
        <v>22</v>
      </c>
      <c r="Y16" s="33" t="s">
        <v>25</v>
      </c>
      <c r="Z16" s="100" t="s">
        <v>22</v>
      </c>
      <c r="AA16" s="99" t="s">
        <v>8</v>
      </c>
      <c r="AB16" s="33" t="s">
        <v>27</v>
      </c>
      <c r="AC16" s="33" t="s">
        <v>22</v>
      </c>
      <c r="AD16" s="33" t="s">
        <v>25</v>
      </c>
      <c r="AE16" s="100" t="s">
        <v>22</v>
      </c>
      <c r="AF16" s="99" t="s">
        <v>8</v>
      </c>
      <c r="AG16" s="33" t="s">
        <v>27</v>
      </c>
      <c r="AH16" s="33" t="s">
        <v>22</v>
      </c>
      <c r="AI16" s="33" t="s">
        <v>25</v>
      </c>
      <c r="AJ16" s="100" t="s">
        <v>22</v>
      </c>
      <c r="AK16" s="99" t="s">
        <v>8</v>
      </c>
      <c r="AL16" s="33" t="s">
        <v>27</v>
      </c>
      <c r="AM16" s="33" t="s">
        <v>22</v>
      </c>
      <c r="AN16" s="33" t="s">
        <v>25</v>
      </c>
      <c r="AO16" s="100" t="s">
        <v>22</v>
      </c>
      <c r="AP16" s="99" t="s">
        <v>8</v>
      </c>
      <c r="AQ16" s="33" t="s">
        <v>27</v>
      </c>
      <c r="AR16" s="33" t="s">
        <v>22</v>
      </c>
      <c r="AS16" s="33" t="s">
        <v>25</v>
      </c>
      <c r="AT16" s="100" t="s">
        <v>22</v>
      </c>
      <c r="AU16" s="99" t="s">
        <v>8</v>
      </c>
      <c r="AV16" s="33" t="s">
        <v>27</v>
      </c>
      <c r="AW16" s="33" t="s">
        <v>22</v>
      </c>
      <c r="AX16" s="33" t="s">
        <v>25</v>
      </c>
      <c r="AY16" s="100" t="s">
        <v>22</v>
      </c>
      <c r="AZ16" s="99" t="s">
        <v>8</v>
      </c>
      <c r="BA16" s="33" t="s">
        <v>27</v>
      </c>
      <c r="BB16" s="33" t="s">
        <v>22</v>
      </c>
      <c r="BC16" s="33" t="s">
        <v>25</v>
      </c>
      <c r="BD16" s="100" t="s">
        <v>22</v>
      </c>
      <c r="BE16" s="99" t="s">
        <v>8</v>
      </c>
      <c r="BF16" s="33" t="s">
        <v>27</v>
      </c>
      <c r="BG16" s="33" t="s">
        <v>22</v>
      </c>
      <c r="BH16" s="33" t="s">
        <v>25</v>
      </c>
      <c r="BI16" s="100" t="s">
        <v>22</v>
      </c>
      <c r="BJ16" s="99" t="s">
        <v>8</v>
      </c>
      <c r="BK16" s="33" t="s">
        <v>27</v>
      </c>
      <c r="BL16" s="33" t="s">
        <v>22</v>
      </c>
      <c r="BM16" s="33" t="s">
        <v>25</v>
      </c>
      <c r="BN16" s="100" t="s">
        <v>22</v>
      </c>
    </row>
    <row r="17" spans="1:66" x14ac:dyDescent="0.3">
      <c r="A17" s="112" t="s">
        <v>12</v>
      </c>
      <c r="B17" s="101">
        <v>13</v>
      </c>
      <c r="C17" s="43">
        <v>8</v>
      </c>
      <c r="D17" s="44">
        <f>C17/B17</f>
        <v>0.61538461538461542</v>
      </c>
      <c r="E17" s="43">
        <f>B17-C17</f>
        <v>5</v>
      </c>
      <c r="F17" s="102">
        <f>E17/B17</f>
        <v>0.38461538461538464</v>
      </c>
      <c r="G17" s="101">
        <v>19</v>
      </c>
      <c r="H17" s="43">
        <v>5</v>
      </c>
      <c r="I17" s="44">
        <f>H17/G17</f>
        <v>0.26315789473684209</v>
      </c>
      <c r="J17" s="43">
        <f>G17-H17</f>
        <v>14</v>
      </c>
      <c r="K17" s="102">
        <f>J17/G17</f>
        <v>0.73684210526315785</v>
      </c>
      <c r="L17" s="101">
        <v>19</v>
      </c>
      <c r="M17" s="43">
        <v>8</v>
      </c>
      <c r="N17" s="44">
        <f>M17/L17</f>
        <v>0.42105263157894735</v>
      </c>
      <c r="O17" s="43">
        <f>L17-M17</f>
        <v>11</v>
      </c>
      <c r="P17" s="102">
        <f>O17/L17</f>
        <v>0.57894736842105265</v>
      </c>
      <c r="Q17" s="101">
        <v>6</v>
      </c>
      <c r="R17" s="43">
        <v>3</v>
      </c>
      <c r="S17" s="44">
        <f>R17/Q17</f>
        <v>0.5</v>
      </c>
      <c r="T17" s="43">
        <f>Q17-R17</f>
        <v>3</v>
      </c>
      <c r="U17" s="102">
        <f>T17/Q17</f>
        <v>0.5</v>
      </c>
      <c r="V17" s="101">
        <v>27</v>
      </c>
      <c r="W17" s="43">
        <v>5</v>
      </c>
      <c r="X17" s="44">
        <f>W17/V17</f>
        <v>0.18518518518518517</v>
      </c>
      <c r="Y17" s="43">
        <f>V17-W17</f>
        <v>22</v>
      </c>
      <c r="Z17" s="102">
        <f>Y17/V17</f>
        <v>0.81481481481481477</v>
      </c>
      <c r="AA17" s="101">
        <v>15</v>
      </c>
      <c r="AB17" s="43">
        <v>5</v>
      </c>
      <c r="AC17" s="44">
        <f>AB17/AA17</f>
        <v>0.33333333333333331</v>
      </c>
      <c r="AD17" s="43">
        <f>AA17-AB17</f>
        <v>10</v>
      </c>
      <c r="AE17" s="102">
        <f>AD17/AA17</f>
        <v>0.66666666666666663</v>
      </c>
      <c r="AF17" s="101">
        <v>19</v>
      </c>
      <c r="AG17" s="43">
        <v>9</v>
      </c>
      <c r="AH17" s="44">
        <f>AG17/AF17</f>
        <v>0.47368421052631576</v>
      </c>
      <c r="AI17" s="43">
        <f>AF17-AG17</f>
        <v>10</v>
      </c>
      <c r="AJ17" s="102">
        <f>AI17/AF17</f>
        <v>0.52631578947368418</v>
      </c>
      <c r="AK17" s="101">
        <v>36</v>
      </c>
      <c r="AL17" s="43">
        <v>12</v>
      </c>
      <c r="AM17" s="44">
        <f>AL17/AK17</f>
        <v>0.33333333333333331</v>
      </c>
      <c r="AN17" s="43">
        <f>AK17-AL17</f>
        <v>24</v>
      </c>
      <c r="AO17" s="102">
        <f>AN17/AK17</f>
        <v>0.66666666666666663</v>
      </c>
      <c r="AP17" s="101">
        <v>33</v>
      </c>
      <c r="AQ17" s="43">
        <v>4</v>
      </c>
      <c r="AR17" s="44">
        <f>AQ17/AP17</f>
        <v>0.12121212121212122</v>
      </c>
      <c r="AS17" s="43">
        <f>AP17-AQ17</f>
        <v>29</v>
      </c>
      <c r="AT17" s="102">
        <f>AS17/AP17</f>
        <v>0.87878787878787878</v>
      </c>
      <c r="AU17" s="101">
        <v>15</v>
      </c>
      <c r="AV17" s="43">
        <v>3</v>
      </c>
      <c r="AW17" s="44">
        <f>AV17/AU17</f>
        <v>0.2</v>
      </c>
      <c r="AX17" s="43">
        <f>AU17-AV17</f>
        <v>12</v>
      </c>
      <c r="AY17" s="102">
        <f>AX17/AU17</f>
        <v>0.8</v>
      </c>
      <c r="AZ17" s="101">
        <v>17</v>
      </c>
      <c r="BA17" s="43">
        <v>8</v>
      </c>
      <c r="BB17" s="44">
        <f>BA17/AZ17</f>
        <v>0.47058823529411764</v>
      </c>
      <c r="BC17" s="43">
        <f>AZ17-BA17</f>
        <v>9</v>
      </c>
      <c r="BD17" s="102">
        <f>BC17/AZ17</f>
        <v>0.52941176470588236</v>
      </c>
      <c r="BE17" s="101">
        <v>19</v>
      </c>
      <c r="BF17" s="43">
        <v>12</v>
      </c>
      <c r="BG17" s="44">
        <f>BF17/BE17</f>
        <v>0.63157894736842102</v>
      </c>
      <c r="BH17" s="43">
        <f>BE17-BF17</f>
        <v>7</v>
      </c>
      <c r="BI17" s="102">
        <f>BH17/BE17</f>
        <v>0.36842105263157893</v>
      </c>
      <c r="BJ17" s="101">
        <f>B17+G17+L17+Q17+V17+AA17+AF17+AK17+AP17+AU17+AZ17+BE17</f>
        <v>238</v>
      </c>
      <c r="BK17" s="43">
        <f>C17+H17+M17+R17+W17+AB17+AG17+AL17+AQ17+AV17+BA17+BF17</f>
        <v>82</v>
      </c>
      <c r="BL17" s="44">
        <f>BK17/BJ17</f>
        <v>0.34453781512605042</v>
      </c>
      <c r="BM17" s="43">
        <f>BJ17-BK17</f>
        <v>156</v>
      </c>
      <c r="BN17" s="102">
        <f>BM17/BJ17</f>
        <v>0.65546218487394958</v>
      </c>
    </row>
    <row r="18" spans="1:66" x14ac:dyDescent="0.3">
      <c r="A18" s="112" t="s">
        <v>16</v>
      </c>
      <c r="B18" s="101">
        <v>19</v>
      </c>
      <c r="C18" s="43">
        <v>1</v>
      </c>
      <c r="D18" s="44">
        <f t="shared" ref="D18" si="140">C18/B18</f>
        <v>5.2631578947368418E-2</v>
      </c>
      <c r="E18" s="43">
        <f t="shared" ref="E18" si="141">B18-C18</f>
        <v>18</v>
      </c>
      <c r="F18" s="102">
        <f t="shared" ref="F18" si="142">E18/B18</f>
        <v>0.94736842105263153</v>
      </c>
      <c r="G18" s="101">
        <v>8</v>
      </c>
      <c r="H18" s="43">
        <v>0</v>
      </c>
      <c r="I18" s="44">
        <f t="shared" ref="I18" si="143">H18/G18</f>
        <v>0</v>
      </c>
      <c r="J18" s="43">
        <f t="shared" ref="J18" si="144">G18-H18</f>
        <v>8</v>
      </c>
      <c r="K18" s="102">
        <f t="shared" ref="K18" si="145">J18/G18</f>
        <v>1</v>
      </c>
      <c r="L18" s="101">
        <v>22</v>
      </c>
      <c r="M18" s="43">
        <v>8</v>
      </c>
      <c r="N18" s="44">
        <f t="shared" ref="N18" si="146">M18/L18</f>
        <v>0.36363636363636365</v>
      </c>
      <c r="O18" s="43">
        <f t="shared" ref="O18" si="147">L18-M18</f>
        <v>14</v>
      </c>
      <c r="P18" s="102">
        <f t="shared" ref="P18" si="148">O18/L18</f>
        <v>0.63636363636363635</v>
      </c>
      <c r="Q18" s="101">
        <v>12</v>
      </c>
      <c r="R18" s="43">
        <v>1</v>
      </c>
      <c r="S18" s="44">
        <f t="shared" ref="S18" si="149">R18/Q18</f>
        <v>8.3333333333333329E-2</v>
      </c>
      <c r="T18" s="43">
        <f t="shared" ref="T18" si="150">Q18-R18</f>
        <v>11</v>
      </c>
      <c r="U18" s="102">
        <f t="shared" ref="U18" si="151">T18/Q18</f>
        <v>0.91666666666666663</v>
      </c>
      <c r="V18" s="101">
        <v>10</v>
      </c>
      <c r="W18" s="43">
        <v>0</v>
      </c>
      <c r="X18" s="44">
        <f t="shared" ref="X18" si="152">W18/V18</f>
        <v>0</v>
      </c>
      <c r="Y18" s="43">
        <f t="shared" ref="Y18" si="153">V18-W18</f>
        <v>10</v>
      </c>
      <c r="Z18" s="102">
        <f t="shared" ref="Z18" si="154">Y18/V18</f>
        <v>1</v>
      </c>
      <c r="AA18" s="101">
        <v>12</v>
      </c>
      <c r="AB18" s="43">
        <v>3</v>
      </c>
      <c r="AC18" s="44">
        <f t="shared" ref="AC18" si="155">AB18/AA18</f>
        <v>0.25</v>
      </c>
      <c r="AD18" s="43">
        <f t="shared" ref="AD18" si="156">AA18-AB18</f>
        <v>9</v>
      </c>
      <c r="AE18" s="102">
        <f t="shared" ref="AE18" si="157">AD18/AA18</f>
        <v>0.75</v>
      </c>
      <c r="AF18" s="101">
        <v>14</v>
      </c>
      <c r="AG18" s="43">
        <v>6</v>
      </c>
      <c r="AH18" s="44">
        <f t="shared" ref="AH18" si="158">AG18/AF18</f>
        <v>0.42857142857142855</v>
      </c>
      <c r="AI18" s="43">
        <f t="shared" ref="AI18" si="159">AF18-AG18</f>
        <v>8</v>
      </c>
      <c r="AJ18" s="102">
        <f t="shared" ref="AJ18" si="160">AI18/AF18</f>
        <v>0.5714285714285714</v>
      </c>
      <c r="AK18" s="101">
        <v>19</v>
      </c>
      <c r="AL18" s="43">
        <v>7</v>
      </c>
      <c r="AM18" s="44">
        <f t="shared" ref="AM18" si="161">AL18/AK18</f>
        <v>0.36842105263157893</v>
      </c>
      <c r="AN18" s="43">
        <f t="shared" ref="AN18" si="162">AK18-AL18</f>
        <v>12</v>
      </c>
      <c r="AO18" s="102">
        <f t="shared" ref="AO18" si="163">AN18/AK18</f>
        <v>0.63157894736842102</v>
      </c>
      <c r="AP18" s="101">
        <v>26</v>
      </c>
      <c r="AQ18" s="43">
        <v>2</v>
      </c>
      <c r="AR18" s="44">
        <f t="shared" ref="AR18" si="164">AQ18/AP18</f>
        <v>7.6923076923076927E-2</v>
      </c>
      <c r="AS18" s="43">
        <f t="shared" ref="AS18" si="165">AP18-AQ18</f>
        <v>24</v>
      </c>
      <c r="AT18" s="102">
        <f t="shared" ref="AT18" si="166">AS18/AP18</f>
        <v>0.92307692307692313</v>
      </c>
      <c r="AU18" s="101">
        <v>19</v>
      </c>
      <c r="AV18" s="43">
        <v>2</v>
      </c>
      <c r="AW18" s="44">
        <f t="shared" ref="AW18" si="167">AV18/AU18</f>
        <v>0.10526315789473684</v>
      </c>
      <c r="AX18" s="43">
        <f t="shared" ref="AX18" si="168">AU18-AV18</f>
        <v>17</v>
      </c>
      <c r="AY18" s="102">
        <f t="shared" ref="AY18" si="169">AX18/AU18</f>
        <v>0.89473684210526316</v>
      </c>
      <c r="AZ18" s="101">
        <v>17</v>
      </c>
      <c r="BA18" s="43">
        <v>6</v>
      </c>
      <c r="BB18" s="44">
        <f t="shared" ref="BB18" si="170">BA18/AZ18</f>
        <v>0.35294117647058826</v>
      </c>
      <c r="BC18" s="43">
        <f t="shared" ref="BC18" si="171">AZ18-BA18</f>
        <v>11</v>
      </c>
      <c r="BD18" s="102">
        <f t="shared" ref="BD18" si="172">BC18/AZ18</f>
        <v>0.6470588235294118</v>
      </c>
      <c r="BE18" s="101">
        <v>15</v>
      </c>
      <c r="BF18" s="43">
        <v>7</v>
      </c>
      <c r="BG18" s="44">
        <f t="shared" ref="BG18" si="173">BF18/BE18</f>
        <v>0.46666666666666667</v>
      </c>
      <c r="BH18" s="43">
        <f t="shared" ref="BH18" si="174">BE18-BF18</f>
        <v>8</v>
      </c>
      <c r="BI18" s="102">
        <f t="shared" ref="BI18" si="175">BH18/BE18</f>
        <v>0.53333333333333333</v>
      </c>
      <c r="BJ18" s="101">
        <f t="shared" ref="BJ18:BJ23" si="176">B18+G18+L18+Q18+V18+AA18+AF18+AK18+AP18+AU18+AZ18+BE18</f>
        <v>193</v>
      </c>
      <c r="BK18" s="43">
        <f t="shared" ref="BK18:BK24" si="177">C18+H18+M18+R18+W18+AB18+AG18+AL18+AQ18+AV18+BA18+BF18</f>
        <v>43</v>
      </c>
      <c r="BL18" s="44">
        <f t="shared" ref="BL18" si="178">BK18/BJ18</f>
        <v>0.22279792746113988</v>
      </c>
      <c r="BM18" s="43">
        <f t="shared" ref="BM18" si="179">BJ18-BK18</f>
        <v>150</v>
      </c>
      <c r="BN18" s="102">
        <f t="shared" ref="BN18" si="180">BM18/BJ18</f>
        <v>0.77720207253886009</v>
      </c>
    </row>
    <row r="19" spans="1:66" x14ac:dyDescent="0.3">
      <c r="A19" s="112" t="s">
        <v>19</v>
      </c>
      <c r="B19" s="101">
        <v>8</v>
      </c>
      <c r="C19" s="43">
        <v>1</v>
      </c>
      <c r="D19" s="44">
        <f>C19/B19</f>
        <v>0.125</v>
      </c>
      <c r="E19" s="43">
        <f>B19-C19</f>
        <v>7</v>
      </c>
      <c r="F19" s="102">
        <f>E19/B19</f>
        <v>0.875</v>
      </c>
      <c r="G19" s="101">
        <v>5</v>
      </c>
      <c r="H19" s="43">
        <v>2</v>
      </c>
      <c r="I19" s="44">
        <f>H19/G19</f>
        <v>0.4</v>
      </c>
      <c r="J19" s="43">
        <f>G19-H19</f>
        <v>3</v>
      </c>
      <c r="K19" s="102">
        <f>J19/G19</f>
        <v>0.6</v>
      </c>
      <c r="L19" s="101">
        <v>23</v>
      </c>
      <c r="M19" s="43">
        <v>7</v>
      </c>
      <c r="N19" s="44">
        <f>M19/L19</f>
        <v>0.30434782608695654</v>
      </c>
      <c r="O19" s="43">
        <f>L19-M19</f>
        <v>16</v>
      </c>
      <c r="P19" s="102">
        <f>O19/L19</f>
        <v>0.69565217391304346</v>
      </c>
      <c r="Q19" s="101">
        <v>5</v>
      </c>
      <c r="R19" s="43">
        <v>2</v>
      </c>
      <c r="S19" s="44">
        <f>R19/Q19</f>
        <v>0.4</v>
      </c>
      <c r="T19" s="43">
        <f>Q19-R19</f>
        <v>3</v>
      </c>
      <c r="U19" s="102">
        <f>T19/Q19</f>
        <v>0.6</v>
      </c>
      <c r="V19" s="101">
        <v>17</v>
      </c>
      <c r="W19" s="43">
        <v>3</v>
      </c>
      <c r="X19" s="44">
        <f>W19/V19</f>
        <v>0.17647058823529413</v>
      </c>
      <c r="Y19" s="43">
        <f>V19-W19</f>
        <v>14</v>
      </c>
      <c r="Z19" s="102">
        <f>Y19/V19</f>
        <v>0.82352941176470584</v>
      </c>
      <c r="AA19" s="101">
        <v>15</v>
      </c>
      <c r="AB19" s="43">
        <v>1</v>
      </c>
      <c r="AC19" s="44">
        <f>AB19/AA19</f>
        <v>6.6666666666666666E-2</v>
      </c>
      <c r="AD19" s="43">
        <f>AA19-AB19</f>
        <v>14</v>
      </c>
      <c r="AE19" s="102">
        <f>AD19/AA19</f>
        <v>0.93333333333333335</v>
      </c>
      <c r="AF19" s="101">
        <v>9</v>
      </c>
      <c r="AG19" s="43">
        <v>5</v>
      </c>
      <c r="AH19" s="44">
        <f>AG19/AF19</f>
        <v>0.55555555555555558</v>
      </c>
      <c r="AI19" s="43">
        <f>AF19-AG19</f>
        <v>4</v>
      </c>
      <c r="AJ19" s="102">
        <f>AI19/AF19</f>
        <v>0.44444444444444442</v>
      </c>
      <c r="AK19" s="101">
        <v>21</v>
      </c>
      <c r="AL19" s="43">
        <v>8</v>
      </c>
      <c r="AM19" s="44">
        <f>AL19/AK19</f>
        <v>0.38095238095238093</v>
      </c>
      <c r="AN19" s="43">
        <f>AK19-AL19</f>
        <v>13</v>
      </c>
      <c r="AO19" s="102">
        <f>AN19/AK19</f>
        <v>0.61904761904761907</v>
      </c>
      <c r="AP19" s="101">
        <v>26</v>
      </c>
      <c r="AQ19" s="43">
        <v>7</v>
      </c>
      <c r="AR19" s="44">
        <f>AQ19/AP19</f>
        <v>0.26923076923076922</v>
      </c>
      <c r="AS19" s="43">
        <f>AP19-AQ19</f>
        <v>19</v>
      </c>
      <c r="AT19" s="102">
        <f>AS19/AP19</f>
        <v>0.73076923076923073</v>
      </c>
      <c r="AU19" s="101">
        <v>10</v>
      </c>
      <c r="AV19" s="43">
        <v>3</v>
      </c>
      <c r="AW19" s="44">
        <f>AV19/AU19</f>
        <v>0.3</v>
      </c>
      <c r="AX19" s="43">
        <f>AU19-AV19</f>
        <v>7</v>
      </c>
      <c r="AY19" s="102">
        <f>AX19/AU19</f>
        <v>0.7</v>
      </c>
      <c r="AZ19" s="101">
        <v>13</v>
      </c>
      <c r="BA19" s="43">
        <v>3</v>
      </c>
      <c r="BB19" s="44">
        <f>BA19/AZ19</f>
        <v>0.23076923076923078</v>
      </c>
      <c r="BC19" s="43">
        <f>AZ19-BA19</f>
        <v>10</v>
      </c>
      <c r="BD19" s="102">
        <f>BC19/AZ19</f>
        <v>0.76923076923076927</v>
      </c>
      <c r="BE19" s="101">
        <v>14</v>
      </c>
      <c r="BF19" s="43">
        <v>1</v>
      </c>
      <c r="BG19" s="44">
        <f>BF19/BE19</f>
        <v>7.1428571428571425E-2</v>
      </c>
      <c r="BH19" s="43">
        <f>BE19-BF19</f>
        <v>13</v>
      </c>
      <c r="BI19" s="102">
        <f>BH19/BE19</f>
        <v>0.9285714285714286</v>
      </c>
      <c r="BJ19" s="101">
        <f t="shared" si="176"/>
        <v>166</v>
      </c>
      <c r="BK19" s="43">
        <f t="shared" si="177"/>
        <v>43</v>
      </c>
      <c r="BL19" s="44">
        <f>BK19/BJ19</f>
        <v>0.25903614457831325</v>
      </c>
      <c r="BM19" s="43">
        <f>BJ19-BK19</f>
        <v>123</v>
      </c>
      <c r="BN19" s="102">
        <f>BM19/BJ19</f>
        <v>0.74096385542168675</v>
      </c>
    </row>
    <row r="20" spans="1:66" x14ac:dyDescent="0.3">
      <c r="A20" s="113" t="s">
        <v>18</v>
      </c>
      <c r="B20" s="103">
        <v>10</v>
      </c>
      <c r="C20" s="34">
        <v>0</v>
      </c>
      <c r="D20" s="35">
        <f t="shared" ref="D20:D21" si="181">C20/B20</f>
        <v>0</v>
      </c>
      <c r="E20" s="34">
        <f t="shared" ref="E20:E21" si="182">B20-C20</f>
        <v>10</v>
      </c>
      <c r="F20" s="104">
        <f t="shared" ref="F20:F21" si="183">E20/B20</f>
        <v>1</v>
      </c>
      <c r="G20" s="103">
        <v>15</v>
      </c>
      <c r="H20" s="34">
        <v>1</v>
      </c>
      <c r="I20" s="35">
        <f t="shared" ref="I20:I21" si="184">H20/G20</f>
        <v>6.6666666666666666E-2</v>
      </c>
      <c r="J20" s="34">
        <f t="shared" ref="J20:J21" si="185">G20-H20</f>
        <v>14</v>
      </c>
      <c r="K20" s="104">
        <f t="shared" ref="K20:K21" si="186">J20/G20</f>
        <v>0.93333333333333335</v>
      </c>
      <c r="L20" s="103">
        <v>22</v>
      </c>
      <c r="M20" s="34">
        <v>4</v>
      </c>
      <c r="N20" s="35">
        <f t="shared" ref="N20:N21" si="187">M20/L20</f>
        <v>0.18181818181818182</v>
      </c>
      <c r="O20" s="34">
        <f t="shared" ref="O20:O21" si="188">L20-M20</f>
        <v>18</v>
      </c>
      <c r="P20" s="104">
        <f t="shared" ref="P20:P21" si="189">O20/L20</f>
        <v>0.81818181818181823</v>
      </c>
      <c r="Q20" s="103">
        <v>10</v>
      </c>
      <c r="R20" s="34">
        <v>0</v>
      </c>
      <c r="S20" s="35">
        <f t="shared" ref="S20:S21" si="190">R20/Q20</f>
        <v>0</v>
      </c>
      <c r="T20" s="34">
        <f t="shared" ref="T20:T21" si="191">Q20-R20</f>
        <v>10</v>
      </c>
      <c r="U20" s="104">
        <f t="shared" ref="U20:U21" si="192">T20/Q20</f>
        <v>1</v>
      </c>
      <c r="V20" s="103">
        <v>11</v>
      </c>
      <c r="W20" s="34">
        <v>1</v>
      </c>
      <c r="X20" s="35">
        <f t="shared" ref="X20:X21" si="193">W20/V20</f>
        <v>9.0909090909090912E-2</v>
      </c>
      <c r="Y20" s="34">
        <f t="shared" ref="Y20:Y21" si="194">V20-W20</f>
        <v>10</v>
      </c>
      <c r="Z20" s="104">
        <f t="shared" ref="Z20:Z21" si="195">Y20/V20</f>
        <v>0.90909090909090906</v>
      </c>
      <c r="AA20" s="103">
        <v>16</v>
      </c>
      <c r="AB20" s="34">
        <v>3</v>
      </c>
      <c r="AC20" s="35">
        <f t="shared" ref="AC20:AC21" si="196">AB20/AA20</f>
        <v>0.1875</v>
      </c>
      <c r="AD20" s="34">
        <f t="shared" ref="AD20:AD21" si="197">AA20-AB20</f>
        <v>13</v>
      </c>
      <c r="AE20" s="104">
        <f t="shared" ref="AE20:AE21" si="198">AD20/AA20</f>
        <v>0.8125</v>
      </c>
      <c r="AF20" s="105">
        <v>20</v>
      </c>
      <c r="AG20" s="90">
        <v>3</v>
      </c>
      <c r="AH20" s="35">
        <f t="shared" ref="AH20:AH21" si="199">AG20/AF20</f>
        <v>0.15</v>
      </c>
      <c r="AI20" s="34">
        <f t="shared" ref="AI20:AI21" si="200">AF20-AG20</f>
        <v>17</v>
      </c>
      <c r="AJ20" s="104">
        <f t="shared" ref="AJ20:AJ21" si="201">AI20/AF20</f>
        <v>0.85</v>
      </c>
      <c r="AK20" s="105">
        <v>12</v>
      </c>
      <c r="AL20" s="90">
        <v>1</v>
      </c>
      <c r="AM20" s="35">
        <f t="shared" ref="AM20:AM21" si="202">AL20/AK20</f>
        <v>8.3333333333333329E-2</v>
      </c>
      <c r="AN20" s="34">
        <f t="shared" ref="AN20:AN21" si="203">AK20-AL20</f>
        <v>11</v>
      </c>
      <c r="AO20" s="104">
        <f t="shared" ref="AO20:AO21" si="204">AN20/AK20</f>
        <v>0.91666666666666663</v>
      </c>
      <c r="AP20" s="105">
        <v>18</v>
      </c>
      <c r="AQ20" s="90">
        <v>2</v>
      </c>
      <c r="AR20" s="35">
        <f t="shared" ref="AR20:AR21" si="205">AQ20/AP20</f>
        <v>0.1111111111111111</v>
      </c>
      <c r="AS20" s="34">
        <f t="shared" ref="AS20:AS21" si="206">AP20-AQ20</f>
        <v>16</v>
      </c>
      <c r="AT20" s="104">
        <f t="shared" ref="AT20:AT21" si="207">AS20/AP20</f>
        <v>0.88888888888888884</v>
      </c>
      <c r="AU20" s="105">
        <v>13</v>
      </c>
      <c r="AV20" s="90">
        <v>4</v>
      </c>
      <c r="AW20" s="35">
        <f t="shared" ref="AW20:AW21" si="208">AV20/AU20</f>
        <v>0.30769230769230771</v>
      </c>
      <c r="AX20" s="34">
        <f t="shared" ref="AX20:AX21" si="209">AU20-AV20</f>
        <v>9</v>
      </c>
      <c r="AY20" s="104">
        <f t="shared" ref="AY20:AY21" si="210">AX20/AU20</f>
        <v>0.69230769230769229</v>
      </c>
      <c r="AZ20" s="105">
        <v>6</v>
      </c>
      <c r="BA20" s="90">
        <v>0</v>
      </c>
      <c r="BB20" s="35">
        <f t="shared" ref="BB20:BB21" si="211">BA20/AZ20</f>
        <v>0</v>
      </c>
      <c r="BC20" s="34">
        <f t="shared" ref="BC20:BC21" si="212">AZ20-BA20</f>
        <v>6</v>
      </c>
      <c r="BD20" s="104">
        <f t="shared" ref="BD20:BD21" si="213">BC20/AZ20</f>
        <v>1</v>
      </c>
      <c r="BE20" s="105">
        <v>10</v>
      </c>
      <c r="BF20" s="90">
        <v>3</v>
      </c>
      <c r="BG20" s="35">
        <f t="shared" ref="BG20:BG21" si="214">BF20/BE20</f>
        <v>0.3</v>
      </c>
      <c r="BH20" s="34">
        <f t="shared" ref="BH20:BH21" si="215">BE20-BF20</f>
        <v>7</v>
      </c>
      <c r="BI20" s="104">
        <f t="shared" ref="BI20:BI21" si="216">BH20/BE20</f>
        <v>0.7</v>
      </c>
      <c r="BJ20" s="105">
        <f t="shared" si="176"/>
        <v>163</v>
      </c>
      <c r="BK20" s="90">
        <f t="shared" si="177"/>
        <v>22</v>
      </c>
      <c r="BL20" s="35">
        <f t="shared" ref="BL20:BL21" si="217">BK20/BJ20</f>
        <v>0.13496932515337423</v>
      </c>
      <c r="BM20" s="34">
        <f t="shared" ref="BM20:BM21" si="218">BJ20-BK20</f>
        <v>141</v>
      </c>
      <c r="BN20" s="104">
        <f t="shared" ref="BN20:BN21" si="219">BM20/BJ20</f>
        <v>0.86503067484662577</v>
      </c>
    </row>
    <row r="21" spans="1:66" x14ac:dyDescent="0.3">
      <c r="A21" s="113" t="s">
        <v>23</v>
      </c>
      <c r="B21" s="103">
        <v>25</v>
      </c>
      <c r="C21" s="34">
        <v>3</v>
      </c>
      <c r="D21" s="35">
        <f t="shared" si="181"/>
        <v>0.12</v>
      </c>
      <c r="E21" s="34">
        <f t="shared" si="182"/>
        <v>22</v>
      </c>
      <c r="F21" s="104">
        <f t="shared" si="183"/>
        <v>0.88</v>
      </c>
      <c r="G21" s="103">
        <v>24</v>
      </c>
      <c r="H21" s="34">
        <v>7</v>
      </c>
      <c r="I21" s="35">
        <f t="shared" si="184"/>
        <v>0.29166666666666669</v>
      </c>
      <c r="J21" s="34">
        <f t="shared" si="185"/>
        <v>17</v>
      </c>
      <c r="K21" s="104">
        <f t="shared" si="186"/>
        <v>0.70833333333333337</v>
      </c>
      <c r="L21" s="103">
        <v>32</v>
      </c>
      <c r="M21" s="34">
        <v>6</v>
      </c>
      <c r="N21" s="35">
        <f t="shared" si="187"/>
        <v>0.1875</v>
      </c>
      <c r="O21" s="34">
        <f t="shared" si="188"/>
        <v>26</v>
      </c>
      <c r="P21" s="104">
        <f t="shared" si="189"/>
        <v>0.8125</v>
      </c>
      <c r="Q21" s="103">
        <v>22</v>
      </c>
      <c r="R21" s="34">
        <v>4</v>
      </c>
      <c r="S21" s="35">
        <f t="shared" si="190"/>
        <v>0.18181818181818182</v>
      </c>
      <c r="T21" s="34">
        <f t="shared" si="191"/>
        <v>18</v>
      </c>
      <c r="U21" s="104">
        <f t="shared" si="192"/>
        <v>0.81818181818181823</v>
      </c>
      <c r="V21" s="103">
        <v>17</v>
      </c>
      <c r="W21" s="34">
        <v>1</v>
      </c>
      <c r="X21" s="35">
        <f t="shared" si="193"/>
        <v>5.8823529411764705E-2</v>
      </c>
      <c r="Y21" s="34">
        <f t="shared" si="194"/>
        <v>16</v>
      </c>
      <c r="Z21" s="104">
        <f t="shared" si="195"/>
        <v>0.94117647058823528</v>
      </c>
      <c r="AA21" s="103">
        <v>23</v>
      </c>
      <c r="AB21" s="34">
        <v>5</v>
      </c>
      <c r="AC21" s="35">
        <f t="shared" si="196"/>
        <v>0.21739130434782608</v>
      </c>
      <c r="AD21" s="34">
        <f t="shared" si="197"/>
        <v>18</v>
      </c>
      <c r="AE21" s="104">
        <f t="shared" si="198"/>
        <v>0.78260869565217395</v>
      </c>
      <c r="AF21" s="105">
        <v>25</v>
      </c>
      <c r="AG21" s="90">
        <v>6</v>
      </c>
      <c r="AH21" s="35">
        <f t="shared" si="199"/>
        <v>0.24</v>
      </c>
      <c r="AI21" s="34">
        <f t="shared" si="200"/>
        <v>19</v>
      </c>
      <c r="AJ21" s="104">
        <f t="shared" si="201"/>
        <v>0.76</v>
      </c>
      <c r="AK21" s="105">
        <v>22</v>
      </c>
      <c r="AL21" s="90">
        <v>10</v>
      </c>
      <c r="AM21" s="35">
        <f t="shared" si="202"/>
        <v>0.45454545454545453</v>
      </c>
      <c r="AN21" s="34">
        <f t="shared" si="203"/>
        <v>12</v>
      </c>
      <c r="AO21" s="104">
        <f t="shared" si="204"/>
        <v>0.54545454545454541</v>
      </c>
      <c r="AP21" s="105">
        <v>44</v>
      </c>
      <c r="AQ21" s="90">
        <v>4</v>
      </c>
      <c r="AR21" s="35">
        <f t="shared" si="205"/>
        <v>9.0909090909090912E-2</v>
      </c>
      <c r="AS21" s="34">
        <f t="shared" si="206"/>
        <v>40</v>
      </c>
      <c r="AT21" s="104">
        <f t="shared" si="207"/>
        <v>0.90909090909090906</v>
      </c>
      <c r="AU21" s="105">
        <v>35</v>
      </c>
      <c r="AV21" s="90">
        <v>2</v>
      </c>
      <c r="AW21" s="35">
        <f t="shared" si="208"/>
        <v>5.7142857142857141E-2</v>
      </c>
      <c r="AX21" s="34">
        <f t="shared" si="209"/>
        <v>33</v>
      </c>
      <c r="AY21" s="104">
        <f t="shared" si="210"/>
        <v>0.94285714285714284</v>
      </c>
      <c r="AZ21" s="105">
        <v>29</v>
      </c>
      <c r="BA21" s="90">
        <v>5</v>
      </c>
      <c r="BB21" s="35">
        <f t="shared" si="211"/>
        <v>0.17241379310344829</v>
      </c>
      <c r="BC21" s="34">
        <f t="shared" si="212"/>
        <v>24</v>
      </c>
      <c r="BD21" s="104">
        <f t="shared" si="213"/>
        <v>0.82758620689655171</v>
      </c>
      <c r="BE21" s="105">
        <v>26</v>
      </c>
      <c r="BF21" s="90">
        <v>4</v>
      </c>
      <c r="BG21" s="35">
        <f t="shared" si="214"/>
        <v>0.15384615384615385</v>
      </c>
      <c r="BH21" s="34">
        <f t="shared" si="215"/>
        <v>22</v>
      </c>
      <c r="BI21" s="104">
        <f t="shared" si="216"/>
        <v>0.84615384615384615</v>
      </c>
      <c r="BJ21" s="105">
        <f t="shared" si="176"/>
        <v>324</v>
      </c>
      <c r="BK21" s="90">
        <f t="shared" si="177"/>
        <v>57</v>
      </c>
      <c r="BL21" s="35">
        <f t="shared" si="217"/>
        <v>0.17592592592592593</v>
      </c>
      <c r="BM21" s="34">
        <f t="shared" si="218"/>
        <v>267</v>
      </c>
      <c r="BN21" s="104">
        <f t="shared" si="219"/>
        <v>0.82407407407407407</v>
      </c>
    </row>
    <row r="22" spans="1:66" x14ac:dyDescent="0.3">
      <c r="A22" s="112" t="s">
        <v>24</v>
      </c>
      <c r="B22" s="101">
        <v>27</v>
      </c>
      <c r="C22" s="43">
        <v>12</v>
      </c>
      <c r="D22" s="44">
        <f>C22/B22</f>
        <v>0.44444444444444442</v>
      </c>
      <c r="E22" s="43">
        <f>B22-C22</f>
        <v>15</v>
      </c>
      <c r="F22" s="102">
        <f>E22/B22</f>
        <v>0.55555555555555558</v>
      </c>
      <c r="G22" s="101">
        <v>26</v>
      </c>
      <c r="H22" s="43">
        <v>4</v>
      </c>
      <c r="I22" s="44">
        <f>H22/G22</f>
        <v>0.15384615384615385</v>
      </c>
      <c r="J22" s="43">
        <f>G22-H22</f>
        <v>22</v>
      </c>
      <c r="K22" s="102">
        <f>J22/G22</f>
        <v>0.84615384615384615</v>
      </c>
      <c r="L22" s="101">
        <v>25</v>
      </c>
      <c r="M22" s="43">
        <v>9</v>
      </c>
      <c r="N22" s="44">
        <f>M22/L22</f>
        <v>0.36</v>
      </c>
      <c r="O22" s="43">
        <f>L22-M22</f>
        <v>16</v>
      </c>
      <c r="P22" s="102">
        <f>O22/L22</f>
        <v>0.64</v>
      </c>
      <c r="Q22" s="101">
        <v>11</v>
      </c>
      <c r="R22" s="43">
        <v>2</v>
      </c>
      <c r="S22" s="44">
        <f>R22/Q22</f>
        <v>0.18181818181818182</v>
      </c>
      <c r="T22" s="43">
        <f>Q22-R22</f>
        <v>9</v>
      </c>
      <c r="U22" s="102">
        <f>T22/Q22</f>
        <v>0.81818181818181823</v>
      </c>
      <c r="V22" s="101">
        <v>25</v>
      </c>
      <c r="W22" s="43">
        <v>5</v>
      </c>
      <c r="X22" s="44">
        <f>W22/V22</f>
        <v>0.2</v>
      </c>
      <c r="Y22" s="43">
        <f>V22-W22</f>
        <v>20</v>
      </c>
      <c r="Z22" s="102">
        <f>Y22/V22</f>
        <v>0.8</v>
      </c>
      <c r="AA22" s="101">
        <v>23</v>
      </c>
      <c r="AB22" s="43">
        <v>13</v>
      </c>
      <c r="AC22" s="44">
        <f>AB22/AA22</f>
        <v>0.56521739130434778</v>
      </c>
      <c r="AD22" s="43">
        <f>AA22-AB22</f>
        <v>10</v>
      </c>
      <c r="AE22" s="102">
        <f>AD22/AA22</f>
        <v>0.43478260869565216</v>
      </c>
      <c r="AF22" s="101">
        <v>29</v>
      </c>
      <c r="AG22" s="43">
        <v>4</v>
      </c>
      <c r="AH22" s="44">
        <f>AG22/AF22</f>
        <v>0.13793103448275862</v>
      </c>
      <c r="AI22" s="43">
        <f>AF22-AG22</f>
        <v>25</v>
      </c>
      <c r="AJ22" s="102">
        <f>AI22/AF22</f>
        <v>0.86206896551724133</v>
      </c>
      <c r="AK22" s="101">
        <v>26</v>
      </c>
      <c r="AL22" s="43">
        <v>14</v>
      </c>
      <c r="AM22" s="44">
        <f>AL22/AK22</f>
        <v>0.53846153846153844</v>
      </c>
      <c r="AN22" s="43">
        <f>AK22-AL22</f>
        <v>12</v>
      </c>
      <c r="AO22" s="102">
        <f>AN22/AK22</f>
        <v>0.46153846153846156</v>
      </c>
      <c r="AP22" s="101">
        <v>41</v>
      </c>
      <c r="AQ22" s="43">
        <v>7</v>
      </c>
      <c r="AR22" s="44">
        <f>AQ22/AP22</f>
        <v>0.17073170731707318</v>
      </c>
      <c r="AS22" s="43">
        <f>AP22-AQ22</f>
        <v>34</v>
      </c>
      <c r="AT22" s="102">
        <f>AS22/AP22</f>
        <v>0.82926829268292679</v>
      </c>
      <c r="AU22" s="101">
        <v>28</v>
      </c>
      <c r="AV22" s="43">
        <v>11</v>
      </c>
      <c r="AW22" s="44">
        <f>AV22/AU22</f>
        <v>0.39285714285714285</v>
      </c>
      <c r="AX22" s="43">
        <f>AU22-AV22</f>
        <v>17</v>
      </c>
      <c r="AY22" s="102">
        <f>AX22/AU22</f>
        <v>0.6071428571428571</v>
      </c>
      <c r="AZ22" s="101">
        <v>22</v>
      </c>
      <c r="BA22" s="43">
        <v>10</v>
      </c>
      <c r="BB22" s="44">
        <f>BA22/AZ22</f>
        <v>0.45454545454545453</v>
      </c>
      <c r="BC22" s="43">
        <f>AZ22-BA22</f>
        <v>12</v>
      </c>
      <c r="BD22" s="102">
        <f>BC22/AZ22</f>
        <v>0.54545454545454541</v>
      </c>
      <c r="BE22" s="101">
        <v>19</v>
      </c>
      <c r="BF22" s="43">
        <v>12</v>
      </c>
      <c r="BG22" s="44">
        <f>BF22/BE22</f>
        <v>0.63157894736842102</v>
      </c>
      <c r="BH22" s="43">
        <f>BE22-BF22</f>
        <v>7</v>
      </c>
      <c r="BI22" s="102">
        <f>BH22/BE22</f>
        <v>0.36842105263157893</v>
      </c>
      <c r="BJ22" s="101">
        <f t="shared" si="176"/>
        <v>302</v>
      </c>
      <c r="BK22" s="43">
        <f t="shared" si="177"/>
        <v>103</v>
      </c>
      <c r="BL22" s="44">
        <f>BK22/BJ22</f>
        <v>0.34105960264900664</v>
      </c>
      <c r="BM22" s="43">
        <f>BJ22-BK22</f>
        <v>199</v>
      </c>
      <c r="BN22" s="102">
        <f>BM22/BJ22</f>
        <v>0.65894039735099341</v>
      </c>
    </row>
    <row r="23" spans="1:66" x14ac:dyDescent="0.3">
      <c r="A23" s="112" t="s">
        <v>15</v>
      </c>
      <c r="B23" s="101">
        <v>8</v>
      </c>
      <c r="C23" s="43">
        <v>1</v>
      </c>
      <c r="D23" s="44">
        <f t="shared" ref="D23" si="220">C23/B23</f>
        <v>0.125</v>
      </c>
      <c r="E23" s="43">
        <f t="shared" ref="E23" si="221">B23-C23</f>
        <v>7</v>
      </c>
      <c r="F23" s="102">
        <f t="shared" ref="F23" si="222">E23/B23</f>
        <v>0.875</v>
      </c>
      <c r="G23" s="101">
        <v>6</v>
      </c>
      <c r="H23" s="43">
        <v>0</v>
      </c>
      <c r="I23" s="44">
        <f t="shared" ref="I23" si="223">H23/G23</f>
        <v>0</v>
      </c>
      <c r="J23" s="43">
        <f t="shared" ref="J23" si="224">G23-H23</f>
        <v>6</v>
      </c>
      <c r="K23" s="102">
        <f t="shared" ref="K23" si="225">J23/G23</f>
        <v>1</v>
      </c>
      <c r="L23" s="101">
        <v>14</v>
      </c>
      <c r="M23" s="43">
        <v>3</v>
      </c>
      <c r="N23" s="44">
        <f t="shared" ref="N23" si="226">M23/L23</f>
        <v>0.21428571428571427</v>
      </c>
      <c r="O23" s="43">
        <f t="shared" ref="O23" si="227">L23-M23</f>
        <v>11</v>
      </c>
      <c r="P23" s="102">
        <f t="shared" ref="P23" si="228">O23/L23</f>
        <v>0.7857142857142857</v>
      </c>
      <c r="Q23" s="101">
        <v>12</v>
      </c>
      <c r="R23" s="43">
        <v>2</v>
      </c>
      <c r="S23" s="44">
        <f t="shared" ref="S23" si="229">R23/Q23</f>
        <v>0.16666666666666666</v>
      </c>
      <c r="T23" s="43">
        <f t="shared" ref="T23" si="230">Q23-R23</f>
        <v>10</v>
      </c>
      <c r="U23" s="102">
        <f t="shared" ref="U23" si="231">T23/Q23</f>
        <v>0.83333333333333337</v>
      </c>
      <c r="V23" s="101">
        <v>8</v>
      </c>
      <c r="W23" s="43">
        <v>1</v>
      </c>
      <c r="X23" s="44">
        <f t="shared" ref="X23" si="232">W23/V23</f>
        <v>0.125</v>
      </c>
      <c r="Y23" s="43">
        <f t="shared" ref="Y23" si="233">V23-W23</f>
        <v>7</v>
      </c>
      <c r="Z23" s="102">
        <f t="shared" ref="Z23" si="234">Y23/V23</f>
        <v>0.875</v>
      </c>
      <c r="AA23" s="101">
        <v>10</v>
      </c>
      <c r="AB23" s="43">
        <v>2</v>
      </c>
      <c r="AC23" s="44">
        <f t="shared" ref="AC23" si="235">AB23/AA23</f>
        <v>0.2</v>
      </c>
      <c r="AD23" s="43">
        <f t="shared" ref="AD23" si="236">AA23-AB23</f>
        <v>8</v>
      </c>
      <c r="AE23" s="102">
        <f t="shared" ref="AE23" si="237">AD23/AA23</f>
        <v>0.8</v>
      </c>
      <c r="AF23" s="101">
        <v>10</v>
      </c>
      <c r="AG23" s="43">
        <v>4</v>
      </c>
      <c r="AH23" s="44">
        <f t="shared" ref="AH23:AH25" si="238">AG23/AF23</f>
        <v>0.4</v>
      </c>
      <c r="AI23" s="43">
        <f t="shared" ref="AI23:AI25" si="239">AF23-AG23</f>
        <v>6</v>
      </c>
      <c r="AJ23" s="102">
        <f t="shared" ref="AJ23:AJ25" si="240">AI23/AF23</f>
        <v>0.6</v>
      </c>
      <c r="AK23" s="101">
        <v>11</v>
      </c>
      <c r="AL23" s="43">
        <v>5</v>
      </c>
      <c r="AM23" s="44">
        <f t="shared" ref="AM23" si="241">AL23/AK23</f>
        <v>0.45454545454545453</v>
      </c>
      <c r="AN23" s="43">
        <f t="shared" ref="AN23" si="242">AK23-AL23</f>
        <v>6</v>
      </c>
      <c r="AO23" s="102">
        <f t="shared" ref="AO23" si="243">AN23/AK23</f>
        <v>0.54545454545454541</v>
      </c>
      <c r="AP23" s="101">
        <v>14</v>
      </c>
      <c r="AQ23" s="43">
        <v>3</v>
      </c>
      <c r="AR23" s="44">
        <f t="shared" ref="AR23" si="244">AQ23/AP23</f>
        <v>0.21428571428571427</v>
      </c>
      <c r="AS23" s="43">
        <f t="shared" ref="AS23" si="245">AP23-AQ23</f>
        <v>11</v>
      </c>
      <c r="AT23" s="102">
        <f t="shared" ref="AT23" si="246">AS23/AP23</f>
        <v>0.7857142857142857</v>
      </c>
      <c r="AU23" s="101">
        <v>13</v>
      </c>
      <c r="AV23" s="43">
        <v>7</v>
      </c>
      <c r="AW23" s="44">
        <f t="shared" ref="AW23" si="247">AV23/AU23</f>
        <v>0.53846153846153844</v>
      </c>
      <c r="AX23" s="43">
        <f t="shared" ref="AX23" si="248">AU23-AV23</f>
        <v>6</v>
      </c>
      <c r="AY23" s="102">
        <f t="shared" ref="AY23" si="249">AX23/AU23</f>
        <v>0.46153846153846156</v>
      </c>
      <c r="AZ23" s="101">
        <v>9</v>
      </c>
      <c r="BA23" s="43">
        <v>1</v>
      </c>
      <c r="BB23" s="44">
        <f t="shared" ref="BB23" si="250">BA23/AZ23</f>
        <v>0.1111111111111111</v>
      </c>
      <c r="BC23" s="43">
        <f t="shared" ref="BC23" si="251">AZ23-BA23</f>
        <v>8</v>
      </c>
      <c r="BD23" s="102">
        <f t="shared" ref="BD23" si="252">BC23/AZ23</f>
        <v>0.88888888888888884</v>
      </c>
      <c r="BE23" s="101">
        <v>6</v>
      </c>
      <c r="BF23" s="43">
        <v>2</v>
      </c>
      <c r="BG23" s="44">
        <f t="shared" ref="BG23" si="253">BF23/BE23</f>
        <v>0.33333333333333331</v>
      </c>
      <c r="BH23" s="43">
        <f t="shared" ref="BH23" si="254">BE23-BF23</f>
        <v>4</v>
      </c>
      <c r="BI23" s="102">
        <f t="shared" ref="BI23" si="255">BH23/BE23</f>
        <v>0.66666666666666663</v>
      </c>
      <c r="BJ23" s="101">
        <f t="shared" si="176"/>
        <v>121</v>
      </c>
      <c r="BK23" s="43">
        <f t="shared" si="177"/>
        <v>31</v>
      </c>
      <c r="BL23" s="44">
        <f t="shared" ref="BL23" si="256">BK23/BJ23</f>
        <v>0.256198347107438</v>
      </c>
      <c r="BM23" s="43">
        <f t="shared" ref="BM23" si="257">BJ23-BK23</f>
        <v>90</v>
      </c>
      <c r="BN23" s="102">
        <f t="shared" ref="BN23" si="258">BM23/BJ23</f>
        <v>0.74380165289256195</v>
      </c>
    </row>
    <row r="24" spans="1:66" x14ac:dyDescent="0.3">
      <c r="A24" s="114" t="s">
        <v>86</v>
      </c>
      <c r="B24" s="105"/>
      <c r="C24" s="90">
        <v>4</v>
      </c>
      <c r="D24" s="63"/>
      <c r="E24" s="90"/>
      <c r="F24" s="106"/>
      <c r="G24" s="105"/>
      <c r="H24" s="90">
        <v>2</v>
      </c>
      <c r="I24" s="63"/>
      <c r="J24" s="90"/>
      <c r="K24" s="106"/>
      <c r="L24" s="105"/>
      <c r="M24" s="90">
        <v>4</v>
      </c>
      <c r="N24" s="63"/>
      <c r="O24" s="90"/>
      <c r="P24" s="106"/>
      <c r="Q24" s="105"/>
      <c r="R24" s="90">
        <v>2</v>
      </c>
      <c r="S24" s="63"/>
      <c r="T24" s="90"/>
      <c r="U24" s="106"/>
      <c r="V24" s="105"/>
      <c r="W24" s="90">
        <v>3</v>
      </c>
      <c r="X24" s="63"/>
      <c r="Y24" s="90"/>
      <c r="Z24" s="106"/>
      <c r="AA24" s="105"/>
      <c r="AB24" s="90"/>
      <c r="AC24" s="63"/>
      <c r="AD24" s="90"/>
      <c r="AE24" s="106"/>
      <c r="AF24" s="105"/>
      <c r="AG24" s="90">
        <v>5</v>
      </c>
      <c r="AH24" s="35"/>
      <c r="AI24" s="90"/>
      <c r="AJ24" s="106"/>
      <c r="AK24" s="105"/>
      <c r="AL24" s="90">
        <v>5</v>
      </c>
      <c r="AM24" s="35"/>
      <c r="AN24" s="90"/>
      <c r="AO24" s="106"/>
      <c r="AP24" s="105"/>
      <c r="AQ24" s="90">
        <v>3</v>
      </c>
      <c r="AR24" s="35"/>
      <c r="AS24" s="90"/>
      <c r="AT24" s="106"/>
      <c r="AU24" s="105"/>
      <c r="AV24" s="90">
        <v>3</v>
      </c>
      <c r="AW24" s="35"/>
      <c r="AX24" s="90"/>
      <c r="AY24" s="106"/>
      <c r="AZ24" s="105"/>
      <c r="BA24" s="90">
        <v>4</v>
      </c>
      <c r="BB24" s="35"/>
      <c r="BC24" s="90"/>
      <c r="BD24" s="106"/>
      <c r="BE24" s="105"/>
      <c r="BF24" s="90">
        <v>6</v>
      </c>
      <c r="BG24" s="35"/>
      <c r="BH24" s="90"/>
      <c r="BI24" s="106"/>
      <c r="BJ24" s="105"/>
      <c r="BK24" s="90">
        <f t="shared" si="177"/>
        <v>41</v>
      </c>
      <c r="BL24" s="35"/>
      <c r="BM24" s="90"/>
      <c r="BN24" s="106"/>
    </row>
    <row r="25" spans="1:66" ht="15" thickBot="1" x14ac:dyDescent="0.35">
      <c r="A25" s="115" t="s">
        <v>8</v>
      </c>
      <c r="B25" s="107">
        <f>SUM(B17:B23)</f>
        <v>110</v>
      </c>
      <c r="C25" s="108">
        <f>SUM(C17:C23)</f>
        <v>26</v>
      </c>
      <c r="D25" s="109">
        <f>C25/B25</f>
        <v>0.23636363636363636</v>
      </c>
      <c r="E25" s="108">
        <f>B25-C25</f>
        <v>84</v>
      </c>
      <c r="F25" s="110">
        <f>E25/B25</f>
        <v>0.76363636363636367</v>
      </c>
      <c r="G25" s="107">
        <f>SUM(G17:G23)</f>
        <v>103</v>
      </c>
      <c r="H25" s="108">
        <f>SUM(H17:H23)</f>
        <v>19</v>
      </c>
      <c r="I25" s="109">
        <f>H25/G25</f>
        <v>0.18446601941747573</v>
      </c>
      <c r="J25" s="108">
        <f>G25-H25</f>
        <v>84</v>
      </c>
      <c r="K25" s="110">
        <f>J25/G25</f>
        <v>0.81553398058252424</v>
      </c>
      <c r="L25" s="107">
        <f>SUM(L17:L23)</f>
        <v>157</v>
      </c>
      <c r="M25" s="108">
        <f>SUM(M17:M23)</f>
        <v>45</v>
      </c>
      <c r="N25" s="109">
        <f>M25/L25</f>
        <v>0.28662420382165604</v>
      </c>
      <c r="O25" s="108">
        <f>L25-M25</f>
        <v>112</v>
      </c>
      <c r="P25" s="110">
        <f>O25/L25</f>
        <v>0.7133757961783439</v>
      </c>
      <c r="Q25" s="107">
        <f>SUM(Q17:Q23)</f>
        <v>78</v>
      </c>
      <c r="R25" s="108">
        <f>SUM(R17:R23)</f>
        <v>14</v>
      </c>
      <c r="S25" s="109">
        <f>R25/Q25</f>
        <v>0.17948717948717949</v>
      </c>
      <c r="T25" s="108">
        <f>Q25-R25</f>
        <v>64</v>
      </c>
      <c r="U25" s="110">
        <f>T25/Q25</f>
        <v>0.82051282051282048</v>
      </c>
      <c r="V25" s="107">
        <f>SUM(V17:V23)</f>
        <v>115</v>
      </c>
      <c r="W25" s="108">
        <f>SUM(W17:W23)</f>
        <v>16</v>
      </c>
      <c r="X25" s="109">
        <f>W25/V25</f>
        <v>0.1391304347826087</v>
      </c>
      <c r="Y25" s="108">
        <f>V25-W25</f>
        <v>99</v>
      </c>
      <c r="Z25" s="110">
        <f>Y25/V25</f>
        <v>0.86086956521739133</v>
      </c>
      <c r="AA25" s="107">
        <f>SUM(AA17:AA23)</f>
        <v>114</v>
      </c>
      <c r="AB25" s="108">
        <f>SUM(AB17:AB23)</f>
        <v>32</v>
      </c>
      <c r="AC25" s="109">
        <f>AB25/AA25</f>
        <v>0.2807017543859649</v>
      </c>
      <c r="AD25" s="108">
        <f>AA25-AB25</f>
        <v>82</v>
      </c>
      <c r="AE25" s="110">
        <f>AD25/AA25</f>
        <v>0.7192982456140351</v>
      </c>
      <c r="AF25" s="107">
        <f>SUM(AF17:AF23)</f>
        <v>126</v>
      </c>
      <c r="AG25" s="108">
        <f>SUM(AG17:AG23)</f>
        <v>37</v>
      </c>
      <c r="AH25" s="109">
        <f t="shared" si="238"/>
        <v>0.29365079365079366</v>
      </c>
      <c r="AI25" s="108">
        <f t="shared" si="239"/>
        <v>89</v>
      </c>
      <c r="AJ25" s="110">
        <f t="shared" si="240"/>
        <v>0.70634920634920639</v>
      </c>
      <c r="AK25" s="107">
        <f>SUM(AK17:AK23)</f>
        <v>147</v>
      </c>
      <c r="AL25" s="108">
        <f>SUM(AL17:AL23)</f>
        <v>57</v>
      </c>
      <c r="AM25" s="109">
        <f t="shared" ref="AM25" si="259">AL25/AK25</f>
        <v>0.38775510204081631</v>
      </c>
      <c r="AN25" s="108">
        <f t="shared" ref="AN25" si="260">AK25-AL25</f>
        <v>90</v>
      </c>
      <c r="AO25" s="110">
        <f t="shared" ref="AO25" si="261">AN25/AK25</f>
        <v>0.61224489795918369</v>
      </c>
      <c r="AP25" s="107">
        <f>SUM(AP17:AP23)</f>
        <v>202</v>
      </c>
      <c r="AQ25" s="108">
        <f>SUM(AQ17:AQ23)</f>
        <v>29</v>
      </c>
      <c r="AR25" s="109">
        <f t="shared" ref="AR25" si="262">AQ25/AP25</f>
        <v>0.14356435643564355</v>
      </c>
      <c r="AS25" s="108">
        <f t="shared" ref="AS25" si="263">AP25-AQ25</f>
        <v>173</v>
      </c>
      <c r="AT25" s="110">
        <f t="shared" ref="AT25" si="264">AS25/AP25</f>
        <v>0.85643564356435642</v>
      </c>
      <c r="AU25" s="107">
        <f>SUM(AU17:AU23)</f>
        <v>133</v>
      </c>
      <c r="AV25" s="108">
        <f>SUM(AV17:AV23)</f>
        <v>32</v>
      </c>
      <c r="AW25" s="109">
        <f t="shared" ref="AW25" si="265">AV25/AU25</f>
        <v>0.24060150375939848</v>
      </c>
      <c r="AX25" s="108">
        <f t="shared" ref="AX25" si="266">AU25-AV25</f>
        <v>101</v>
      </c>
      <c r="AY25" s="110">
        <f t="shared" ref="AY25" si="267">AX25/AU25</f>
        <v>0.75939849624060152</v>
      </c>
      <c r="AZ25" s="107">
        <f>SUM(AZ17:AZ23)</f>
        <v>113</v>
      </c>
      <c r="BA25" s="108">
        <f>SUM(BA17:BA23)</f>
        <v>33</v>
      </c>
      <c r="BB25" s="109">
        <f t="shared" ref="BB25" si="268">BA25/AZ25</f>
        <v>0.29203539823008851</v>
      </c>
      <c r="BC25" s="108">
        <f t="shared" ref="BC25" si="269">AZ25-BA25</f>
        <v>80</v>
      </c>
      <c r="BD25" s="110">
        <f t="shared" ref="BD25" si="270">BC25/AZ25</f>
        <v>0.70796460176991149</v>
      </c>
      <c r="BE25" s="107">
        <f>SUM(BE17:BE23)</f>
        <v>109</v>
      </c>
      <c r="BF25" s="108">
        <f>SUM(BF17:BF23)</f>
        <v>41</v>
      </c>
      <c r="BG25" s="109">
        <f t="shared" ref="BG25" si="271">BF25/BE25</f>
        <v>0.37614678899082571</v>
      </c>
      <c r="BH25" s="108">
        <f t="shared" ref="BH25" si="272">BE25-BF25</f>
        <v>68</v>
      </c>
      <c r="BI25" s="110">
        <f t="shared" ref="BI25" si="273">BH25/BE25</f>
        <v>0.62385321100917435</v>
      </c>
      <c r="BJ25" s="107">
        <f>SUM(BJ17:BJ23)</f>
        <v>1507</v>
      </c>
      <c r="BK25" s="108">
        <f>SUM(BK17:BK23)</f>
        <v>381</v>
      </c>
      <c r="BL25" s="109">
        <f t="shared" ref="BL25" si="274">BK25/BJ25</f>
        <v>0.25282017252820171</v>
      </c>
      <c r="BM25" s="108">
        <f t="shared" ref="BM25" si="275">BJ25-BK25</f>
        <v>1126</v>
      </c>
      <c r="BN25" s="110">
        <f t="shared" ref="BN25" si="276">BM25/BJ25</f>
        <v>0.74717982747179823</v>
      </c>
    </row>
    <row r="26" spans="1:66" ht="15" thickBot="1" x14ac:dyDescent="0.35"/>
    <row r="27" spans="1:66" ht="15" thickBot="1" x14ac:dyDescent="0.35">
      <c r="A27" s="153" t="s">
        <v>104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</row>
    <row r="28" spans="1:66" x14ac:dyDescent="0.3">
      <c r="A28" s="116"/>
      <c r="B28" s="155" t="s">
        <v>29</v>
      </c>
      <c r="C28" s="156"/>
      <c r="D28" s="156"/>
      <c r="E28" s="156"/>
      <c r="F28" s="157"/>
      <c r="G28" s="155" t="s">
        <v>17</v>
      </c>
      <c r="H28" s="156"/>
      <c r="I28" s="156"/>
      <c r="J28" s="156"/>
      <c r="K28" s="157"/>
      <c r="L28" s="155" t="s">
        <v>30</v>
      </c>
      <c r="M28" s="156"/>
      <c r="N28" s="156"/>
      <c r="O28" s="156"/>
      <c r="P28" s="157"/>
      <c r="Q28" s="155" t="s">
        <v>14</v>
      </c>
      <c r="R28" s="156"/>
      <c r="S28" s="156"/>
      <c r="T28" s="156"/>
      <c r="U28" s="157"/>
      <c r="V28" s="155" t="s">
        <v>20</v>
      </c>
      <c r="W28" s="156"/>
      <c r="X28" s="156"/>
      <c r="Y28" s="156"/>
      <c r="Z28" s="157"/>
      <c r="AA28" s="155" t="s">
        <v>21</v>
      </c>
      <c r="AB28" s="156"/>
      <c r="AC28" s="156"/>
      <c r="AD28" s="156"/>
      <c r="AE28" s="157"/>
      <c r="AF28" s="155" t="s">
        <v>31</v>
      </c>
      <c r="AG28" s="156"/>
      <c r="AH28" s="156"/>
      <c r="AI28" s="156"/>
      <c r="AJ28" s="157"/>
      <c r="AK28" s="155" t="s">
        <v>32</v>
      </c>
      <c r="AL28" s="156"/>
      <c r="AM28" s="156"/>
      <c r="AN28" s="156"/>
      <c r="AO28" s="157"/>
      <c r="AP28" s="155" t="s">
        <v>33</v>
      </c>
      <c r="AQ28" s="156"/>
      <c r="AR28" s="156"/>
      <c r="AS28" s="156"/>
      <c r="AT28" s="157"/>
      <c r="AU28" s="155" t="s">
        <v>34</v>
      </c>
      <c r="AV28" s="156"/>
      <c r="AW28" s="156"/>
      <c r="AX28" s="156"/>
      <c r="AY28" s="157"/>
      <c r="AZ28" s="155" t="s">
        <v>35</v>
      </c>
      <c r="BA28" s="156"/>
      <c r="BB28" s="156"/>
      <c r="BC28" s="156"/>
      <c r="BD28" s="157"/>
      <c r="BE28" s="155" t="s">
        <v>36</v>
      </c>
      <c r="BF28" s="156"/>
      <c r="BG28" s="156"/>
      <c r="BH28" s="156"/>
      <c r="BI28" s="157"/>
      <c r="BJ28" s="155">
        <v>2022</v>
      </c>
      <c r="BK28" s="156"/>
      <c r="BL28" s="156"/>
      <c r="BM28" s="156"/>
      <c r="BN28" s="157"/>
    </row>
    <row r="29" spans="1:66" x14ac:dyDescent="0.3">
      <c r="A29" s="111" t="s">
        <v>28</v>
      </c>
      <c r="B29" s="99" t="s">
        <v>8</v>
      </c>
      <c r="C29" s="33" t="s">
        <v>27</v>
      </c>
      <c r="D29" s="33" t="s">
        <v>22</v>
      </c>
      <c r="E29" s="33" t="s">
        <v>25</v>
      </c>
      <c r="F29" s="100" t="s">
        <v>22</v>
      </c>
      <c r="G29" s="99" t="s">
        <v>8</v>
      </c>
      <c r="H29" s="33" t="s">
        <v>27</v>
      </c>
      <c r="I29" s="33" t="s">
        <v>22</v>
      </c>
      <c r="J29" s="33" t="s">
        <v>25</v>
      </c>
      <c r="K29" s="100" t="s">
        <v>22</v>
      </c>
      <c r="L29" s="99" t="s">
        <v>8</v>
      </c>
      <c r="M29" s="33" t="s">
        <v>27</v>
      </c>
      <c r="N29" s="33" t="s">
        <v>22</v>
      </c>
      <c r="O29" s="33" t="s">
        <v>25</v>
      </c>
      <c r="P29" s="100" t="s">
        <v>22</v>
      </c>
      <c r="Q29" s="99" t="s">
        <v>8</v>
      </c>
      <c r="R29" s="33" t="s">
        <v>27</v>
      </c>
      <c r="S29" s="33" t="s">
        <v>22</v>
      </c>
      <c r="T29" s="33" t="s">
        <v>25</v>
      </c>
      <c r="U29" s="100" t="s">
        <v>22</v>
      </c>
      <c r="V29" s="99" t="s">
        <v>8</v>
      </c>
      <c r="W29" s="33" t="s">
        <v>27</v>
      </c>
      <c r="X29" s="33" t="s">
        <v>22</v>
      </c>
      <c r="Y29" s="33" t="s">
        <v>25</v>
      </c>
      <c r="Z29" s="100" t="s">
        <v>22</v>
      </c>
      <c r="AA29" s="99" t="s">
        <v>8</v>
      </c>
      <c r="AB29" s="33" t="s">
        <v>27</v>
      </c>
      <c r="AC29" s="33" t="s">
        <v>22</v>
      </c>
      <c r="AD29" s="33" t="s">
        <v>25</v>
      </c>
      <c r="AE29" s="100" t="s">
        <v>22</v>
      </c>
      <c r="AF29" s="99" t="s">
        <v>8</v>
      </c>
      <c r="AG29" s="33" t="s">
        <v>27</v>
      </c>
      <c r="AH29" s="33" t="s">
        <v>22</v>
      </c>
      <c r="AI29" s="33" t="s">
        <v>25</v>
      </c>
      <c r="AJ29" s="100" t="s">
        <v>22</v>
      </c>
      <c r="AK29" s="99" t="s">
        <v>8</v>
      </c>
      <c r="AL29" s="33" t="s">
        <v>27</v>
      </c>
      <c r="AM29" s="33" t="s">
        <v>22</v>
      </c>
      <c r="AN29" s="33" t="s">
        <v>25</v>
      </c>
      <c r="AO29" s="100" t="s">
        <v>22</v>
      </c>
      <c r="AP29" s="99" t="s">
        <v>8</v>
      </c>
      <c r="AQ29" s="33" t="s">
        <v>27</v>
      </c>
      <c r="AR29" s="33" t="s">
        <v>22</v>
      </c>
      <c r="AS29" s="33" t="s">
        <v>25</v>
      </c>
      <c r="AT29" s="100" t="s">
        <v>22</v>
      </c>
      <c r="AU29" s="99" t="s">
        <v>8</v>
      </c>
      <c r="AV29" s="33" t="s">
        <v>27</v>
      </c>
      <c r="AW29" s="33" t="s">
        <v>22</v>
      </c>
      <c r="AX29" s="33" t="s">
        <v>25</v>
      </c>
      <c r="AY29" s="100" t="s">
        <v>22</v>
      </c>
      <c r="AZ29" s="99" t="s">
        <v>8</v>
      </c>
      <c r="BA29" s="33" t="s">
        <v>27</v>
      </c>
      <c r="BB29" s="33" t="s">
        <v>22</v>
      </c>
      <c r="BC29" s="33" t="s">
        <v>25</v>
      </c>
      <c r="BD29" s="100" t="s">
        <v>22</v>
      </c>
      <c r="BE29" s="99" t="s">
        <v>8</v>
      </c>
      <c r="BF29" s="33" t="s">
        <v>27</v>
      </c>
      <c r="BG29" s="33" t="s">
        <v>22</v>
      </c>
      <c r="BH29" s="33" t="s">
        <v>25</v>
      </c>
      <c r="BI29" s="100" t="s">
        <v>22</v>
      </c>
      <c r="BJ29" s="99" t="s">
        <v>8</v>
      </c>
      <c r="BK29" s="33" t="s">
        <v>27</v>
      </c>
      <c r="BL29" s="33" t="s">
        <v>22</v>
      </c>
      <c r="BM29" s="33" t="s">
        <v>25</v>
      </c>
      <c r="BN29" s="100" t="s">
        <v>22</v>
      </c>
    </row>
    <row r="30" spans="1:66" x14ac:dyDescent="0.3">
      <c r="A30" s="112" t="s">
        <v>12</v>
      </c>
      <c r="B30" s="101">
        <v>18</v>
      </c>
      <c r="C30" s="43">
        <v>6</v>
      </c>
      <c r="D30" s="44">
        <f t="shared" ref="D30:D36" si="277">C30/B30</f>
        <v>0.33333333333333331</v>
      </c>
      <c r="E30" s="43">
        <f t="shared" ref="E30:E36" si="278">B30-C30</f>
        <v>12</v>
      </c>
      <c r="F30" s="102">
        <f t="shared" ref="F30:F36" si="279">E30/B30</f>
        <v>0.66666666666666663</v>
      </c>
      <c r="G30" s="101">
        <v>23</v>
      </c>
      <c r="H30" s="43">
        <v>7</v>
      </c>
      <c r="I30" s="44">
        <f t="shared" ref="I30:I36" si="280">H30/G30</f>
        <v>0.30434782608695654</v>
      </c>
      <c r="J30" s="43">
        <f t="shared" ref="J30:J36" si="281">G30-H30</f>
        <v>16</v>
      </c>
      <c r="K30" s="102">
        <f t="shared" ref="K30:K36" si="282">J30/G30</f>
        <v>0.69565217391304346</v>
      </c>
      <c r="L30" s="101">
        <v>15</v>
      </c>
      <c r="M30" s="43">
        <v>4</v>
      </c>
      <c r="N30" s="44">
        <f t="shared" ref="N30:N36" si="283">M30/L30</f>
        <v>0.26666666666666666</v>
      </c>
      <c r="O30" s="43">
        <f t="shared" ref="O30:O36" si="284">L30-M30</f>
        <v>11</v>
      </c>
      <c r="P30" s="102">
        <f t="shared" ref="P30:P36" si="285">O30/L30</f>
        <v>0.73333333333333328</v>
      </c>
      <c r="Q30" s="101">
        <v>23</v>
      </c>
      <c r="R30" s="43">
        <v>4</v>
      </c>
      <c r="S30" s="44">
        <f t="shared" ref="S30:S36" si="286">R30/Q30</f>
        <v>0.17391304347826086</v>
      </c>
      <c r="T30" s="43">
        <f t="shared" ref="T30:T36" si="287">Q30-R30</f>
        <v>19</v>
      </c>
      <c r="U30" s="102">
        <f t="shared" ref="U30:U36" si="288">T30/Q30</f>
        <v>0.82608695652173914</v>
      </c>
      <c r="V30" s="101">
        <v>22</v>
      </c>
      <c r="W30" s="43">
        <v>6</v>
      </c>
      <c r="X30" s="44">
        <f t="shared" ref="X30:X36" si="289">W30/V30</f>
        <v>0.27272727272727271</v>
      </c>
      <c r="Y30" s="43">
        <f t="shared" ref="Y30:Y36" si="290">V30-W30</f>
        <v>16</v>
      </c>
      <c r="Z30" s="102">
        <f t="shared" ref="Z30:Z36" si="291">Y30/V30</f>
        <v>0.72727272727272729</v>
      </c>
      <c r="AA30" s="101">
        <v>21</v>
      </c>
      <c r="AB30" s="43">
        <v>5</v>
      </c>
      <c r="AC30" s="44">
        <f t="shared" ref="AC30:AC36" si="292">AB30/AA30</f>
        <v>0.23809523809523808</v>
      </c>
      <c r="AD30" s="43">
        <f t="shared" ref="AD30:AD36" si="293">AA30-AB30</f>
        <v>16</v>
      </c>
      <c r="AE30" s="102">
        <f t="shared" ref="AE30:AE36" si="294">AD30/AA30</f>
        <v>0.76190476190476186</v>
      </c>
      <c r="AF30" s="101">
        <v>22</v>
      </c>
      <c r="AG30" s="43">
        <v>7</v>
      </c>
      <c r="AH30" s="44">
        <f t="shared" ref="AH30:AH36" si="295">AG30/AF30</f>
        <v>0.31818181818181818</v>
      </c>
      <c r="AI30" s="43">
        <f t="shared" ref="AI30:AI36" si="296">AF30-AG30</f>
        <v>15</v>
      </c>
      <c r="AJ30" s="102">
        <f t="shared" ref="AJ30:AJ36" si="297">AI30/AF30</f>
        <v>0.68181818181818177</v>
      </c>
      <c r="AK30" s="101">
        <v>32</v>
      </c>
      <c r="AL30" s="43">
        <v>11</v>
      </c>
      <c r="AM30" s="44">
        <f t="shared" ref="AM30:AM36" si="298">AL30/AK30</f>
        <v>0.34375</v>
      </c>
      <c r="AN30" s="43">
        <f t="shared" ref="AN30:AN36" si="299">AK30-AL30</f>
        <v>21</v>
      </c>
      <c r="AO30" s="102">
        <f t="shared" ref="AO30:AO36" si="300">AN30/AK30</f>
        <v>0.65625</v>
      </c>
      <c r="AP30" s="101">
        <v>28</v>
      </c>
      <c r="AQ30" s="43">
        <v>1</v>
      </c>
      <c r="AR30" s="44">
        <f t="shared" ref="AR30:AR36" si="301">AQ30/AP30</f>
        <v>3.5714285714285712E-2</v>
      </c>
      <c r="AS30" s="43">
        <f t="shared" ref="AS30:AS36" si="302">AP30-AQ30</f>
        <v>27</v>
      </c>
      <c r="AT30" s="102">
        <f t="shared" ref="AT30:AT36" si="303">AS30/AP30</f>
        <v>0.9642857142857143</v>
      </c>
      <c r="AU30" s="101">
        <v>19</v>
      </c>
      <c r="AV30" s="43">
        <v>10</v>
      </c>
      <c r="AW30" s="44">
        <f t="shared" ref="AW30:AW36" si="304">AV30/AU30</f>
        <v>0.52631578947368418</v>
      </c>
      <c r="AX30" s="43">
        <f t="shared" ref="AX30:AX36" si="305">AU30-AV30</f>
        <v>9</v>
      </c>
      <c r="AY30" s="102">
        <f t="shared" ref="AY30:AY36" si="306">AX30/AU30</f>
        <v>0.47368421052631576</v>
      </c>
      <c r="AZ30" s="101">
        <v>19</v>
      </c>
      <c r="BA30" s="43">
        <v>9</v>
      </c>
      <c r="BB30" s="44">
        <f t="shared" ref="BB30:BB36" si="307">BA30/AZ30</f>
        <v>0.47368421052631576</v>
      </c>
      <c r="BC30" s="43">
        <f t="shared" ref="BC30:BC36" si="308">AZ30-BA30</f>
        <v>10</v>
      </c>
      <c r="BD30" s="102">
        <f t="shared" ref="BD30:BD36" si="309">BC30/AZ30</f>
        <v>0.52631578947368418</v>
      </c>
      <c r="BE30" s="101">
        <v>27</v>
      </c>
      <c r="BF30" s="43">
        <v>11</v>
      </c>
      <c r="BG30" s="44">
        <f t="shared" ref="BG30:BG36" si="310">BF30/BE30</f>
        <v>0.40740740740740738</v>
      </c>
      <c r="BH30" s="43">
        <f t="shared" ref="BH30:BH36" si="311">BE30-BF30</f>
        <v>16</v>
      </c>
      <c r="BI30" s="102">
        <f t="shared" ref="BI30:BI36" si="312">BH30/BE30</f>
        <v>0.59259259259259256</v>
      </c>
      <c r="BJ30" s="101">
        <f t="shared" ref="BJ30:BK36" si="313">B30+G30+L30+Q30+V30+AA30+AF30+AK30+AP30+AU30+AZ30+BE30</f>
        <v>269</v>
      </c>
      <c r="BK30" s="43">
        <f t="shared" si="313"/>
        <v>81</v>
      </c>
      <c r="BL30" s="44">
        <f t="shared" ref="BL30:BL36" si="314">BK30/BJ30</f>
        <v>0.30111524163568776</v>
      </c>
      <c r="BM30" s="43">
        <f t="shared" ref="BM30:BM36" si="315">BJ30-BK30</f>
        <v>188</v>
      </c>
      <c r="BN30" s="102">
        <f t="shared" ref="BN30:BN36" si="316">BM30/BJ30</f>
        <v>0.6988847583643123</v>
      </c>
    </row>
    <row r="31" spans="1:66" x14ac:dyDescent="0.3">
      <c r="A31" s="112" t="s">
        <v>16</v>
      </c>
      <c r="B31" s="101">
        <v>8</v>
      </c>
      <c r="C31" s="43">
        <v>0</v>
      </c>
      <c r="D31" s="44">
        <f t="shared" si="277"/>
        <v>0</v>
      </c>
      <c r="E31" s="43">
        <f t="shared" si="278"/>
        <v>8</v>
      </c>
      <c r="F31" s="102">
        <f t="shared" si="279"/>
        <v>1</v>
      </c>
      <c r="G31" s="101">
        <v>15</v>
      </c>
      <c r="H31" s="43">
        <v>3</v>
      </c>
      <c r="I31" s="44">
        <f t="shared" si="280"/>
        <v>0.2</v>
      </c>
      <c r="J31" s="43">
        <f t="shared" si="281"/>
        <v>12</v>
      </c>
      <c r="K31" s="102">
        <f t="shared" si="282"/>
        <v>0.8</v>
      </c>
      <c r="L31" s="101">
        <v>10</v>
      </c>
      <c r="M31" s="43">
        <v>1</v>
      </c>
      <c r="N31" s="44">
        <f t="shared" si="283"/>
        <v>0.1</v>
      </c>
      <c r="O31" s="43">
        <f t="shared" si="284"/>
        <v>9</v>
      </c>
      <c r="P31" s="102">
        <f t="shared" si="285"/>
        <v>0.9</v>
      </c>
      <c r="Q31" s="101">
        <v>12</v>
      </c>
      <c r="R31" s="43">
        <v>2</v>
      </c>
      <c r="S31" s="44">
        <f t="shared" si="286"/>
        <v>0.16666666666666666</v>
      </c>
      <c r="T31" s="43">
        <f t="shared" si="287"/>
        <v>10</v>
      </c>
      <c r="U31" s="102">
        <f t="shared" si="288"/>
        <v>0.83333333333333337</v>
      </c>
      <c r="V31" s="101">
        <v>13</v>
      </c>
      <c r="W31" s="43">
        <v>5</v>
      </c>
      <c r="X31" s="44">
        <f t="shared" si="289"/>
        <v>0.38461538461538464</v>
      </c>
      <c r="Y31" s="43">
        <f t="shared" si="290"/>
        <v>8</v>
      </c>
      <c r="Z31" s="102">
        <f t="shared" si="291"/>
        <v>0.61538461538461542</v>
      </c>
      <c r="AA31" s="101">
        <v>18</v>
      </c>
      <c r="AB31" s="43">
        <v>1</v>
      </c>
      <c r="AC31" s="44">
        <f t="shared" si="292"/>
        <v>5.5555555555555552E-2</v>
      </c>
      <c r="AD31" s="43">
        <f t="shared" si="293"/>
        <v>17</v>
      </c>
      <c r="AE31" s="102">
        <f t="shared" si="294"/>
        <v>0.94444444444444442</v>
      </c>
      <c r="AF31" s="101">
        <v>17</v>
      </c>
      <c r="AG31" s="43">
        <v>3</v>
      </c>
      <c r="AH31" s="44">
        <f t="shared" si="295"/>
        <v>0.17647058823529413</v>
      </c>
      <c r="AI31" s="43">
        <f t="shared" si="296"/>
        <v>14</v>
      </c>
      <c r="AJ31" s="102">
        <f t="shared" si="297"/>
        <v>0.82352941176470584</v>
      </c>
      <c r="AK31" s="101">
        <v>23</v>
      </c>
      <c r="AL31" s="43">
        <v>5</v>
      </c>
      <c r="AM31" s="44">
        <f t="shared" si="298"/>
        <v>0.21739130434782608</v>
      </c>
      <c r="AN31" s="43">
        <f t="shared" si="299"/>
        <v>18</v>
      </c>
      <c r="AO31" s="102">
        <f t="shared" si="300"/>
        <v>0.78260869565217395</v>
      </c>
      <c r="AP31" s="101">
        <v>14</v>
      </c>
      <c r="AQ31" s="43">
        <v>2</v>
      </c>
      <c r="AR31" s="44">
        <f t="shared" si="301"/>
        <v>0.14285714285714285</v>
      </c>
      <c r="AS31" s="43">
        <f t="shared" si="302"/>
        <v>12</v>
      </c>
      <c r="AT31" s="102">
        <f t="shared" si="303"/>
        <v>0.8571428571428571</v>
      </c>
      <c r="AU31" s="101">
        <v>13</v>
      </c>
      <c r="AV31" s="43">
        <v>3</v>
      </c>
      <c r="AW31" s="44">
        <f t="shared" si="304"/>
        <v>0.23076923076923078</v>
      </c>
      <c r="AX31" s="43">
        <f t="shared" si="305"/>
        <v>10</v>
      </c>
      <c r="AY31" s="102">
        <f t="shared" si="306"/>
        <v>0.76923076923076927</v>
      </c>
      <c r="AZ31" s="101">
        <v>13</v>
      </c>
      <c r="BA31" s="43">
        <v>4</v>
      </c>
      <c r="BB31" s="44">
        <f t="shared" si="307"/>
        <v>0.30769230769230771</v>
      </c>
      <c r="BC31" s="43">
        <f t="shared" si="308"/>
        <v>9</v>
      </c>
      <c r="BD31" s="102">
        <f t="shared" si="309"/>
        <v>0.69230769230769229</v>
      </c>
      <c r="BE31" s="101">
        <v>16</v>
      </c>
      <c r="BF31" s="43">
        <v>3</v>
      </c>
      <c r="BG31" s="44">
        <f t="shared" si="310"/>
        <v>0.1875</v>
      </c>
      <c r="BH31" s="43">
        <f t="shared" si="311"/>
        <v>13</v>
      </c>
      <c r="BI31" s="102">
        <f t="shared" si="312"/>
        <v>0.8125</v>
      </c>
      <c r="BJ31" s="101">
        <f t="shared" si="313"/>
        <v>172</v>
      </c>
      <c r="BK31" s="43">
        <f t="shared" si="313"/>
        <v>32</v>
      </c>
      <c r="BL31" s="44">
        <f t="shared" si="314"/>
        <v>0.18604651162790697</v>
      </c>
      <c r="BM31" s="43">
        <f t="shared" si="315"/>
        <v>140</v>
      </c>
      <c r="BN31" s="102">
        <f t="shared" si="316"/>
        <v>0.81395348837209303</v>
      </c>
    </row>
    <row r="32" spans="1:66" x14ac:dyDescent="0.3">
      <c r="A32" s="112" t="s">
        <v>19</v>
      </c>
      <c r="B32" s="101">
        <v>7</v>
      </c>
      <c r="C32" s="43">
        <v>3</v>
      </c>
      <c r="D32" s="44">
        <f t="shared" si="277"/>
        <v>0.42857142857142855</v>
      </c>
      <c r="E32" s="43">
        <f t="shared" si="278"/>
        <v>4</v>
      </c>
      <c r="F32" s="102">
        <f t="shared" si="279"/>
        <v>0.5714285714285714</v>
      </c>
      <c r="G32" s="101">
        <v>10</v>
      </c>
      <c r="H32" s="43">
        <v>4</v>
      </c>
      <c r="I32" s="44">
        <f t="shared" si="280"/>
        <v>0.4</v>
      </c>
      <c r="J32" s="43">
        <f t="shared" si="281"/>
        <v>6</v>
      </c>
      <c r="K32" s="102">
        <f t="shared" si="282"/>
        <v>0.6</v>
      </c>
      <c r="L32" s="101">
        <v>10</v>
      </c>
      <c r="M32" s="43">
        <v>5</v>
      </c>
      <c r="N32" s="44">
        <f t="shared" si="283"/>
        <v>0.5</v>
      </c>
      <c r="O32" s="43">
        <f t="shared" si="284"/>
        <v>5</v>
      </c>
      <c r="P32" s="102">
        <f t="shared" si="285"/>
        <v>0.5</v>
      </c>
      <c r="Q32" s="101">
        <v>6</v>
      </c>
      <c r="R32" s="43">
        <v>3</v>
      </c>
      <c r="S32" s="44">
        <f t="shared" si="286"/>
        <v>0.5</v>
      </c>
      <c r="T32" s="43">
        <f t="shared" si="287"/>
        <v>3</v>
      </c>
      <c r="U32" s="102">
        <f t="shared" si="288"/>
        <v>0.5</v>
      </c>
      <c r="V32" s="101">
        <v>14</v>
      </c>
      <c r="W32" s="43">
        <v>4</v>
      </c>
      <c r="X32" s="44">
        <f t="shared" si="289"/>
        <v>0.2857142857142857</v>
      </c>
      <c r="Y32" s="43">
        <f t="shared" si="290"/>
        <v>10</v>
      </c>
      <c r="Z32" s="102">
        <f t="shared" si="291"/>
        <v>0.7142857142857143</v>
      </c>
      <c r="AA32" s="101">
        <v>10</v>
      </c>
      <c r="AB32" s="43">
        <v>3</v>
      </c>
      <c r="AC32" s="44">
        <f t="shared" si="292"/>
        <v>0.3</v>
      </c>
      <c r="AD32" s="43">
        <f t="shared" si="293"/>
        <v>7</v>
      </c>
      <c r="AE32" s="102">
        <f t="shared" si="294"/>
        <v>0.7</v>
      </c>
      <c r="AF32" s="101">
        <v>9</v>
      </c>
      <c r="AG32" s="43">
        <v>1</v>
      </c>
      <c r="AH32" s="44">
        <f t="shared" si="295"/>
        <v>0.1111111111111111</v>
      </c>
      <c r="AI32" s="43">
        <f t="shared" si="296"/>
        <v>8</v>
      </c>
      <c r="AJ32" s="102">
        <f t="shared" si="297"/>
        <v>0.88888888888888884</v>
      </c>
      <c r="AK32" s="101">
        <v>11</v>
      </c>
      <c r="AL32" s="43">
        <v>4</v>
      </c>
      <c r="AM32" s="44">
        <f t="shared" si="298"/>
        <v>0.36363636363636365</v>
      </c>
      <c r="AN32" s="43">
        <f t="shared" si="299"/>
        <v>7</v>
      </c>
      <c r="AO32" s="102">
        <f t="shared" si="300"/>
        <v>0.63636363636363635</v>
      </c>
      <c r="AP32" s="101">
        <v>14</v>
      </c>
      <c r="AQ32" s="43">
        <v>5</v>
      </c>
      <c r="AR32" s="44">
        <f t="shared" si="301"/>
        <v>0.35714285714285715</v>
      </c>
      <c r="AS32" s="43">
        <f t="shared" si="302"/>
        <v>9</v>
      </c>
      <c r="AT32" s="102">
        <f t="shared" si="303"/>
        <v>0.6428571428571429</v>
      </c>
      <c r="AU32" s="101">
        <v>7</v>
      </c>
      <c r="AV32" s="43">
        <v>3</v>
      </c>
      <c r="AW32" s="44">
        <f t="shared" si="304"/>
        <v>0.42857142857142855</v>
      </c>
      <c r="AX32" s="43">
        <f t="shared" si="305"/>
        <v>4</v>
      </c>
      <c r="AY32" s="102">
        <f t="shared" si="306"/>
        <v>0.5714285714285714</v>
      </c>
      <c r="AZ32" s="101">
        <v>13</v>
      </c>
      <c r="BA32" s="43">
        <v>4</v>
      </c>
      <c r="BB32" s="44">
        <f t="shared" si="307"/>
        <v>0.30769230769230771</v>
      </c>
      <c r="BC32" s="43">
        <f t="shared" si="308"/>
        <v>9</v>
      </c>
      <c r="BD32" s="102">
        <f t="shared" si="309"/>
        <v>0.69230769230769229</v>
      </c>
      <c r="BE32" s="101">
        <v>13</v>
      </c>
      <c r="BF32" s="43">
        <v>5</v>
      </c>
      <c r="BG32" s="44">
        <f t="shared" si="310"/>
        <v>0.38461538461538464</v>
      </c>
      <c r="BH32" s="43">
        <f t="shared" si="311"/>
        <v>8</v>
      </c>
      <c r="BI32" s="102">
        <f t="shared" si="312"/>
        <v>0.61538461538461542</v>
      </c>
      <c r="BJ32" s="101">
        <f t="shared" si="313"/>
        <v>124</v>
      </c>
      <c r="BK32" s="43">
        <f t="shared" si="313"/>
        <v>44</v>
      </c>
      <c r="BL32" s="44">
        <f t="shared" si="314"/>
        <v>0.35483870967741937</v>
      </c>
      <c r="BM32" s="43">
        <f t="shared" si="315"/>
        <v>80</v>
      </c>
      <c r="BN32" s="102">
        <f t="shared" si="316"/>
        <v>0.64516129032258063</v>
      </c>
    </row>
    <row r="33" spans="1:66" x14ac:dyDescent="0.3">
      <c r="A33" s="113" t="s">
        <v>18</v>
      </c>
      <c r="B33" s="103">
        <v>10</v>
      </c>
      <c r="C33" s="34">
        <v>2</v>
      </c>
      <c r="D33" s="35">
        <f t="shared" si="277"/>
        <v>0.2</v>
      </c>
      <c r="E33" s="34">
        <f t="shared" si="278"/>
        <v>8</v>
      </c>
      <c r="F33" s="104">
        <f t="shared" si="279"/>
        <v>0.8</v>
      </c>
      <c r="G33" s="103">
        <v>15</v>
      </c>
      <c r="H33" s="34">
        <v>2</v>
      </c>
      <c r="I33" s="35">
        <f t="shared" si="280"/>
        <v>0.13333333333333333</v>
      </c>
      <c r="J33" s="34">
        <f t="shared" si="281"/>
        <v>13</v>
      </c>
      <c r="K33" s="104">
        <f t="shared" si="282"/>
        <v>0.8666666666666667</v>
      </c>
      <c r="L33" s="103">
        <v>13</v>
      </c>
      <c r="M33" s="34">
        <v>1</v>
      </c>
      <c r="N33" s="35">
        <f t="shared" si="283"/>
        <v>7.6923076923076927E-2</v>
      </c>
      <c r="O33" s="34">
        <f t="shared" si="284"/>
        <v>12</v>
      </c>
      <c r="P33" s="104">
        <f t="shared" si="285"/>
        <v>0.92307692307692313</v>
      </c>
      <c r="Q33" s="103">
        <v>11</v>
      </c>
      <c r="R33" s="34">
        <v>0</v>
      </c>
      <c r="S33" s="35">
        <f t="shared" si="286"/>
        <v>0</v>
      </c>
      <c r="T33" s="34">
        <f t="shared" si="287"/>
        <v>11</v>
      </c>
      <c r="U33" s="104">
        <f t="shared" si="288"/>
        <v>1</v>
      </c>
      <c r="V33" s="103">
        <v>9</v>
      </c>
      <c r="W33" s="34">
        <v>0</v>
      </c>
      <c r="X33" s="35">
        <f t="shared" si="289"/>
        <v>0</v>
      </c>
      <c r="Y33" s="34">
        <f t="shared" si="290"/>
        <v>9</v>
      </c>
      <c r="Z33" s="104">
        <f t="shared" si="291"/>
        <v>1</v>
      </c>
      <c r="AA33" s="103">
        <v>10</v>
      </c>
      <c r="AB33" s="34">
        <v>3</v>
      </c>
      <c r="AC33" s="35">
        <f t="shared" si="292"/>
        <v>0.3</v>
      </c>
      <c r="AD33" s="34">
        <f t="shared" si="293"/>
        <v>7</v>
      </c>
      <c r="AE33" s="104">
        <f t="shared" si="294"/>
        <v>0.7</v>
      </c>
      <c r="AF33" s="105">
        <v>12</v>
      </c>
      <c r="AG33" s="90">
        <v>1</v>
      </c>
      <c r="AH33" s="35">
        <f t="shared" si="295"/>
        <v>8.3333333333333329E-2</v>
      </c>
      <c r="AI33" s="34">
        <f t="shared" si="296"/>
        <v>11</v>
      </c>
      <c r="AJ33" s="104">
        <f t="shared" si="297"/>
        <v>0.91666666666666663</v>
      </c>
      <c r="AK33" s="105">
        <v>18</v>
      </c>
      <c r="AL33" s="90">
        <v>1</v>
      </c>
      <c r="AM33" s="35">
        <f t="shared" si="298"/>
        <v>5.5555555555555552E-2</v>
      </c>
      <c r="AN33" s="34">
        <f t="shared" si="299"/>
        <v>17</v>
      </c>
      <c r="AO33" s="104">
        <f t="shared" si="300"/>
        <v>0.94444444444444442</v>
      </c>
      <c r="AP33" s="105">
        <v>16</v>
      </c>
      <c r="AQ33" s="90">
        <v>3</v>
      </c>
      <c r="AR33" s="35">
        <f t="shared" si="301"/>
        <v>0.1875</v>
      </c>
      <c r="AS33" s="34">
        <f t="shared" si="302"/>
        <v>13</v>
      </c>
      <c r="AT33" s="104">
        <f t="shared" si="303"/>
        <v>0.8125</v>
      </c>
      <c r="AU33" s="105">
        <v>11</v>
      </c>
      <c r="AV33" s="90">
        <v>1</v>
      </c>
      <c r="AW33" s="35">
        <f t="shared" si="304"/>
        <v>9.0909090909090912E-2</v>
      </c>
      <c r="AX33" s="34">
        <f t="shared" si="305"/>
        <v>10</v>
      </c>
      <c r="AY33" s="104">
        <f t="shared" si="306"/>
        <v>0.90909090909090906</v>
      </c>
      <c r="AZ33" s="105">
        <v>13</v>
      </c>
      <c r="BA33" s="90">
        <v>2</v>
      </c>
      <c r="BB33" s="35">
        <f t="shared" si="307"/>
        <v>0.15384615384615385</v>
      </c>
      <c r="BC33" s="34">
        <f t="shared" si="308"/>
        <v>11</v>
      </c>
      <c r="BD33" s="104">
        <f t="shared" si="309"/>
        <v>0.84615384615384615</v>
      </c>
      <c r="BE33" s="105">
        <v>20</v>
      </c>
      <c r="BF33" s="90">
        <v>1</v>
      </c>
      <c r="BG33" s="35">
        <f t="shared" si="310"/>
        <v>0.05</v>
      </c>
      <c r="BH33" s="34">
        <f t="shared" si="311"/>
        <v>19</v>
      </c>
      <c r="BI33" s="104">
        <f t="shared" si="312"/>
        <v>0.95</v>
      </c>
      <c r="BJ33" s="105">
        <f t="shared" si="313"/>
        <v>158</v>
      </c>
      <c r="BK33" s="90">
        <f t="shared" si="313"/>
        <v>17</v>
      </c>
      <c r="BL33" s="35">
        <f t="shared" si="314"/>
        <v>0.10759493670886076</v>
      </c>
      <c r="BM33" s="34">
        <f t="shared" si="315"/>
        <v>141</v>
      </c>
      <c r="BN33" s="104">
        <f t="shared" si="316"/>
        <v>0.89240506329113922</v>
      </c>
    </row>
    <row r="34" spans="1:66" x14ac:dyDescent="0.3">
      <c r="A34" s="113" t="s">
        <v>23</v>
      </c>
      <c r="B34" s="103">
        <v>23</v>
      </c>
      <c r="C34" s="34">
        <v>7</v>
      </c>
      <c r="D34" s="35">
        <f t="shared" si="277"/>
        <v>0.30434782608695654</v>
      </c>
      <c r="E34" s="34">
        <f t="shared" si="278"/>
        <v>16</v>
      </c>
      <c r="F34" s="104">
        <f t="shared" si="279"/>
        <v>0.69565217391304346</v>
      </c>
      <c r="G34" s="103">
        <v>28</v>
      </c>
      <c r="H34" s="34">
        <v>5</v>
      </c>
      <c r="I34" s="35">
        <f t="shared" si="280"/>
        <v>0.17857142857142858</v>
      </c>
      <c r="J34" s="34">
        <f t="shared" si="281"/>
        <v>23</v>
      </c>
      <c r="K34" s="104">
        <f t="shared" si="282"/>
        <v>0.8214285714285714</v>
      </c>
      <c r="L34" s="103">
        <v>25</v>
      </c>
      <c r="M34" s="34">
        <v>6</v>
      </c>
      <c r="N34" s="35">
        <f t="shared" si="283"/>
        <v>0.24</v>
      </c>
      <c r="O34" s="34">
        <f t="shared" si="284"/>
        <v>19</v>
      </c>
      <c r="P34" s="104">
        <f t="shared" si="285"/>
        <v>0.76</v>
      </c>
      <c r="Q34" s="103">
        <v>20</v>
      </c>
      <c r="R34" s="34">
        <v>2</v>
      </c>
      <c r="S34" s="35">
        <f t="shared" si="286"/>
        <v>0.1</v>
      </c>
      <c r="T34" s="34">
        <f t="shared" si="287"/>
        <v>18</v>
      </c>
      <c r="U34" s="104">
        <f t="shared" si="288"/>
        <v>0.9</v>
      </c>
      <c r="V34" s="103">
        <v>18</v>
      </c>
      <c r="W34" s="34">
        <v>3</v>
      </c>
      <c r="X34" s="35">
        <f t="shared" si="289"/>
        <v>0.16666666666666666</v>
      </c>
      <c r="Y34" s="34">
        <f t="shared" si="290"/>
        <v>15</v>
      </c>
      <c r="Z34" s="104">
        <f t="shared" si="291"/>
        <v>0.83333333333333337</v>
      </c>
      <c r="AA34" s="103">
        <v>22</v>
      </c>
      <c r="AB34" s="34">
        <v>6</v>
      </c>
      <c r="AC34" s="35">
        <f t="shared" si="292"/>
        <v>0.27272727272727271</v>
      </c>
      <c r="AD34" s="34">
        <f t="shared" si="293"/>
        <v>16</v>
      </c>
      <c r="AE34" s="104">
        <f t="shared" si="294"/>
        <v>0.72727272727272729</v>
      </c>
      <c r="AF34" s="105">
        <v>30</v>
      </c>
      <c r="AG34" s="90">
        <v>2</v>
      </c>
      <c r="AH34" s="35">
        <f t="shared" si="295"/>
        <v>6.6666666666666666E-2</v>
      </c>
      <c r="AI34" s="34">
        <f t="shared" si="296"/>
        <v>28</v>
      </c>
      <c r="AJ34" s="104">
        <f t="shared" si="297"/>
        <v>0.93333333333333335</v>
      </c>
      <c r="AK34" s="105">
        <v>36</v>
      </c>
      <c r="AL34" s="90">
        <v>8</v>
      </c>
      <c r="AM34" s="35">
        <f t="shared" si="298"/>
        <v>0.22222222222222221</v>
      </c>
      <c r="AN34" s="34">
        <f t="shared" si="299"/>
        <v>28</v>
      </c>
      <c r="AO34" s="104">
        <f t="shared" si="300"/>
        <v>0.77777777777777779</v>
      </c>
      <c r="AP34" s="105">
        <v>22</v>
      </c>
      <c r="AQ34" s="90">
        <v>5</v>
      </c>
      <c r="AR34" s="35">
        <f t="shared" si="301"/>
        <v>0.22727272727272727</v>
      </c>
      <c r="AS34" s="34">
        <f t="shared" si="302"/>
        <v>17</v>
      </c>
      <c r="AT34" s="104">
        <f t="shared" si="303"/>
        <v>0.77272727272727271</v>
      </c>
      <c r="AU34" s="105">
        <v>27</v>
      </c>
      <c r="AV34" s="90">
        <v>4</v>
      </c>
      <c r="AW34" s="35">
        <f t="shared" si="304"/>
        <v>0.14814814814814814</v>
      </c>
      <c r="AX34" s="34">
        <f t="shared" si="305"/>
        <v>23</v>
      </c>
      <c r="AY34" s="104">
        <f t="shared" si="306"/>
        <v>0.85185185185185186</v>
      </c>
      <c r="AZ34" s="105">
        <v>16</v>
      </c>
      <c r="BA34" s="90">
        <v>3</v>
      </c>
      <c r="BB34" s="35">
        <f t="shared" si="307"/>
        <v>0.1875</v>
      </c>
      <c r="BC34" s="34">
        <f t="shared" si="308"/>
        <v>13</v>
      </c>
      <c r="BD34" s="104">
        <f t="shared" si="309"/>
        <v>0.8125</v>
      </c>
      <c r="BE34" s="105">
        <v>25</v>
      </c>
      <c r="BF34" s="90">
        <v>3</v>
      </c>
      <c r="BG34" s="35">
        <f t="shared" si="310"/>
        <v>0.12</v>
      </c>
      <c r="BH34" s="34">
        <f t="shared" si="311"/>
        <v>22</v>
      </c>
      <c r="BI34" s="104">
        <f t="shared" si="312"/>
        <v>0.88</v>
      </c>
      <c r="BJ34" s="105">
        <f t="shared" si="313"/>
        <v>292</v>
      </c>
      <c r="BK34" s="90">
        <f t="shared" si="313"/>
        <v>54</v>
      </c>
      <c r="BL34" s="35">
        <f t="shared" si="314"/>
        <v>0.18493150684931506</v>
      </c>
      <c r="BM34" s="34">
        <f t="shared" si="315"/>
        <v>238</v>
      </c>
      <c r="BN34" s="104">
        <f t="shared" si="316"/>
        <v>0.81506849315068497</v>
      </c>
    </row>
    <row r="35" spans="1:66" x14ac:dyDescent="0.3">
      <c r="A35" s="112" t="s">
        <v>24</v>
      </c>
      <c r="B35" s="101">
        <v>22</v>
      </c>
      <c r="C35" s="43">
        <v>9</v>
      </c>
      <c r="D35" s="44">
        <f t="shared" si="277"/>
        <v>0.40909090909090912</v>
      </c>
      <c r="E35" s="43">
        <f t="shared" si="278"/>
        <v>13</v>
      </c>
      <c r="F35" s="102">
        <f t="shared" si="279"/>
        <v>0.59090909090909094</v>
      </c>
      <c r="G35" s="101">
        <v>26</v>
      </c>
      <c r="H35" s="43">
        <v>17</v>
      </c>
      <c r="I35" s="44">
        <f t="shared" si="280"/>
        <v>0.65384615384615385</v>
      </c>
      <c r="J35" s="43">
        <f t="shared" si="281"/>
        <v>9</v>
      </c>
      <c r="K35" s="102">
        <f t="shared" si="282"/>
        <v>0.34615384615384615</v>
      </c>
      <c r="L35" s="101">
        <v>21</v>
      </c>
      <c r="M35" s="43">
        <v>9</v>
      </c>
      <c r="N35" s="44">
        <f t="shared" si="283"/>
        <v>0.42857142857142855</v>
      </c>
      <c r="O35" s="43">
        <f t="shared" si="284"/>
        <v>12</v>
      </c>
      <c r="P35" s="102">
        <f t="shared" si="285"/>
        <v>0.5714285714285714</v>
      </c>
      <c r="Q35" s="101">
        <v>18</v>
      </c>
      <c r="R35" s="43">
        <v>8</v>
      </c>
      <c r="S35" s="44">
        <f t="shared" si="286"/>
        <v>0.44444444444444442</v>
      </c>
      <c r="T35" s="43">
        <f t="shared" si="287"/>
        <v>10</v>
      </c>
      <c r="U35" s="102">
        <f t="shared" si="288"/>
        <v>0.55555555555555558</v>
      </c>
      <c r="V35" s="101">
        <v>18</v>
      </c>
      <c r="W35" s="43">
        <v>7</v>
      </c>
      <c r="X35" s="44">
        <f t="shared" si="289"/>
        <v>0.3888888888888889</v>
      </c>
      <c r="Y35" s="43">
        <f t="shared" si="290"/>
        <v>11</v>
      </c>
      <c r="Z35" s="102">
        <f t="shared" si="291"/>
        <v>0.61111111111111116</v>
      </c>
      <c r="AA35" s="101">
        <v>15</v>
      </c>
      <c r="AB35" s="43">
        <v>4</v>
      </c>
      <c r="AC35" s="44">
        <f t="shared" si="292"/>
        <v>0.26666666666666666</v>
      </c>
      <c r="AD35" s="43">
        <f t="shared" si="293"/>
        <v>11</v>
      </c>
      <c r="AE35" s="102">
        <f t="shared" si="294"/>
        <v>0.73333333333333328</v>
      </c>
      <c r="AF35" s="101">
        <v>18</v>
      </c>
      <c r="AG35" s="43">
        <v>6</v>
      </c>
      <c r="AH35" s="44">
        <f t="shared" si="295"/>
        <v>0.33333333333333331</v>
      </c>
      <c r="AI35" s="43">
        <f t="shared" si="296"/>
        <v>12</v>
      </c>
      <c r="AJ35" s="102">
        <f t="shared" si="297"/>
        <v>0.66666666666666663</v>
      </c>
      <c r="AK35" s="101">
        <v>36</v>
      </c>
      <c r="AL35" s="43">
        <v>17</v>
      </c>
      <c r="AM35" s="44">
        <f t="shared" si="298"/>
        <v>0.47222222222222221</v>
      </c>
      <c r="AN35" s="43">
        <f t="shared" si="299"/>
        <v>19</v>
      </c>
      <c r="AO35" s="102">
        <f t="shared" si="300"/>
        <v>0.52777777777777779</v>
      </c>
      <c r="AP35" s="101">
        <v>21</v>
      </c>
      <c r="AQ35" s="43">
        <v>8</v>
      </c>
      <c r="AR35" s="44">
        <f t="shared" si="301"/>
        <v>0.38095238095238093</v>
      </c>
      <c r="AS35" s="43">
        <f t="shared" si="302"/>
        <v>13</v>
      </c>
      <c r="AT35" s="102">
        <f t="shared" si="303"/>
        <v>0.61904761904761907</v>
      </c>
      <c r="AU35" s="101">
        <v>23</v>
      </c>
      <c r="AV35" s="43">
        <v>9</v>
      </c>
      <c r="AW35" s="44">
        <f t="shared" si="304"/>
        <v>0.39130434782608697</v>
      </c>
      <c r="AX35" s="43">
        <f t="shared" si="305"/>
        <v>14</v>
      </c>
      <c r="AY35" s="102">
        <f t="shared" si="306"/>
        <v>0.60869565217391308</v>
      </c>
      <c r="AZ35" s="101">
        <v>36</v>
      </c>
      <c r="BA35" s="43">
        <v>10</v>
      </c>
      <c r="BB35" s="44">
        <f t="shared" si="307"/>
        <v>0.27777777777777779</v>
      </c>
      <c r="BC35" s="43">
        <f t="shared" si="308"/>
        <v>26</v>
      </c>
      <c r="BD35" s="102">
        <f t="shared" si="309"/>
        <v>0.72222222222222221</v>
      </c>
      <c r="BE35" s="101">
        <v>25</v>
      </c>
      <c r="BF35" s="43">
        <v>2</v>
      </c>
      <c r="BG35" s="44">
        <f t="shared" si="310"/>
        <v>0.08</v>
      </c>
      <c r="BH35" s="43">
        <f t="shared" si="311"/>
        <v>23</v>
      </c>
      <c r="BI35" s="102">
        <f t="shared" si="312"/>
        <v>0.92</v>
      </c>
      <c r="BJ35" s="101">
        <f t="shared" si="313"/>
        <v>279</v>
      </c>
      <c r="BK35" s="43">
        <f t="shared" si="313"/>
        <v>106</v>
      </c>
      <c r="BL35" s="44">
        <f t="shared" si="314"/>
        <v>0.37992831541218636</v>
      </c>
      <c r="BM35" s="43">
        <f t="shared" si="315"/>
        <v>173</v>
      </c>
      <c r="BN35" s="102">
        <f t="shared" si="316"/>
        <v>0.62007168458781359</v>
      </c>
    </row>
    <row r="36" spans="1:66" x14ac:dyDescent="0.3">
      <c r="A36" s="112" t="s">
        <v>15</v>
      </c>
      <c r="B36" s="101">
        <v>10</v>
      </c>
      <c r="C36" s="43">
        <v>5</v>
      </c>
      <c r="D36" s="44">
        <f t="shared" si="277"/>
        <v>0.5</v>
      </c>
      <c r="E36" s="43">
        <f t="shared" si="278"/>
        <v>5</v>
      </c>
      <c r="F36" s="102">
        <f t="shared" si="279"/>
        <v>0.5</v>
      </c>
      <c r="G36" s="101">
        <v>13</v>
      </c>
      <c r="H36" s="43">
        <v>1</v>
      </c>
      <c r="I36" s="44">
        <f t="shared" si="280"/>
        <v>7.6923076923076927E-2</v>
      </c>
      <c r="J36" s="43">
        <f t="shared" si="281"/>
        <v>12</v>
      </c>
      <c r="K36" s="102">
        <f t="shared" si="282"/>
        <v>0.92307692307692313</v>
      </c>
      <c r="L36" s="101">
        <v>6</v>
      </c>
      <c r="M36" s="43">
        <v>1</v>
      </c>
      <c r="N36" s="44">
        <f t="shared" si="283"/>
        <v>0.16666666666666666</v>
      </c>
      <c r="O36" s="43">
        <f t="shared" si="284"/>
        <v>5</v>
      </c>
      <c r="P36" s="102">
        <f t="shared" si="285"/>
        <v>0.83333333333333337</v>
      </c>
      <c r="Q36" s="101">
        <v>11</v>
      </c>
      <c r="R36" s="43">
        <v>3</v>
      </c>
      <c r="S36" s="44">
        <f t="shared" si="286"/>
        <v>0.27272727272727271</v>
      </c>
      <c r="T36" s="43">
        <f t="shared" si="287"/>
        <v>8</v>
      </c>
      <c r="U36" s="102">
        <f t="shared" si="288"/>
        <v>0.72727272727272729</v>
      </c>
      <c r="V36" s="101">
        <v>9</v>
      </c>
      <c r="W36" s="43">
        <v>1</v>
      </c>
      <c r="X36" s="44">
        <f t="shared" si="289"/>
        <v>0.1111111111111111</v>
      </c>
      <c r="Y36" s="43">
        <f t="shared" si="290"/>
        <v>8</v>
      </c>
      <c r="Z36" s="102">
        <f t="shared" si="291"/>
        <v>0.88888888888888884</v>
      </c>
      <c r="AA36" s="101">
        <v>5</v>
      </c>
      <c r="AB36" s="43">
        <v>1</v>
      </c>
      <c r="AC36" s="44">
        <f t="shared" si="292"/>
        <v>0.2</v>
      </c>
      <c r="AD36" s="43">
        <f t="shared" si="293"/>
        <v>4</v>
      </c>
      <c r="AE36" s="102">
        <f t="shared" si="294"/>
        <v>0.8</v>
      </c>
      <c r="AF36" s="101">
        <v>20</v>
      </c>
      <c r="AG36" s="43">
        <v>1</v>
      </c>
      <c r="AH36" s="44">
        <f t="shared" si="295"/>
        <v>0.05</v>
      </c>
      <c r="AI36" s="43">
        <f t="shared" si="296"/>
        <v>19</v>
      </c>
      <c r="AJ36" s="102">
        <f t="shared" si="297"/>
        <v>0.95</v>
      </c>
      <c r="AK36" s="101">
        <v>13</v>
      </c>
      <c r="AL36" s="43">
        <v>10</v>
      </c>
      <c r="AM36" s="44">
        <f t="shared" si="298"/>
        <v>0.76923076923076927</v>
      </c>
      <c r="AN36" s="43">
        <f t="shared" si="299"/>
        <v>3</v>
      </c>
      <c r="AO36" s="102">
        <f t="shared" si="300"/>
        <v>0.23076923076923078</v>
      </c>
      <c r="AP36" s="101">
        <v>14</v>
      </c>
      <c r="AQ36" s="43">
        <v>3</v>
      </c>
      <c r="AR36" s="44">
        <f t="shared" si="301"/>
        <v>0.21428571428571427</v>
      </c>
      <c r="AS36" s="43">
        <f t="shared" si="302"/>
        <v>11</v>
      </c>
      <c r="AT36" s="102">
        <f t="shared" si="303"/>
        <v>0.7857142857142857</v>
      </c>
      <c r="AU36" s="101">
        <v>9</v>
      </c>
      <c r="AV36" s="43">
        <v>5</v>
      </c>
      <c r="AW36" s="44">
        <f t="shared" si="304"/>
        <v>0.55555555555555558</v>
      </c>
      <c r="AX36" s="43">
        <f t="shared" si="305"/>
        <v>4</v>
      </c>
      <c r="AY36" s="102">
        <f t="shared" si="306"/>
        <v>0.44444444444444442</v>
      </c>
      <c r="AZ36" s="101">
        <v>11</v>
      </c>
      <c r="BA36" s="43">
        <v>2</v>
      </c>
      <c r="BB36" s="44">
        <f t="shared" si="307"/>
        <v>0.18181818181818182</v>
      </c>
      <c r="BC36" s="43">
        <f t="shared" si="308"/>
        <v>9</v>
      </c>
      <c r="BD36" s="102">
        <f t="shared" si="309"/>
        <v>0.81818181818181823</v>
      </c>
      <c r="BE36" s="101">
        <v>8</v>
      </c>
      <c r="BF36" s="43">
        <v>5</v>
      </c>
      <c r="BG36" s="44">
        <f t="shared" si="310"/>
        <v>0.625</v>
      </c>
      <c r="BH36" s="43">
        <f t="shared" si="311"/>
        <v>3</v>
      </c>
      <c r="BI36" s="102">
        <f t="shared" si="312"/>
        <v>0.375</v>
      </c>
      <c r="BJ36" s="101">
        <f t="shared" si="313"/>
        <v>129</v>
      </c>
      <c r="BK36" s="43">
        <f t="shared" si="313"/>
        <v>38</v>
      </c>
      <c r="BL36" s="44">
        <f t="shared" si="314"/>
        <v>0.29457364341085274</v>
      </c>
      <c r="BM36" s="43">
        <f t="shared" si="315"/>
        <v>91</v>
      </c>
      <c r="BN36" s="102">
        <f t="shared" si="316"/>
        <v>0.70542635658914732</v>
      </c>
    </row>
    <row r="37" spans="1:66" x14ac:dyDescent="0.3">
      <c r="A37" s="114" t="s">
        <v>86</v>
      </c>
      <c r="B37" s="105"/>
      <c r="C37" s="90">
        <v>7</v>
      </c>
      <c r="D37" s="63"/>
      <c r="E37" s="90"/>
      <c r="F37" s="106"/>
      <c r="G37" s="105"/>
      <c r="H37" s="90">
        <v>5</v>
      </c>
      <c r="I37" s="63"/>
      <c r="J37" s="90"/>
      <c r="K37" s="106"/>
      <c r="L37" s="105"/>
      <c r="M37" s="90">
        <v>1</v>
      </c>
      <c r="N37" s="63"/>
      <c r="O37" s="90"/>
      <c r="P37" s="106"/>
      <c r="Q37" s="105"/>
      <c r="R37" s="90">
        <v>8</v>
      </c>
      <c r="S37" s="63"/>
      <c r="T37" s="90"/>
      <c r="U37" s="106"/>
      <c r="V37" s="105"/>
      <c r="W37" s="90">
        <v>4</v>
      </c>
      <c r="X37" s="63"/>
      <c r="Y37" s="90"/>
      <c r="Z37" s="106"/>
      <c r="AA37" s="105"/>
      <c r="AB37" s="90">
        <v>4</v>
      </c>
      <c r="AC37" s="63"/>
      <c r="AD37" s="90"/>
      <c r="AE37" s="106"/>
      <c r="AF37" s="105"/>
      <c r="AG37" s="90">
        <v>1</v>
      </c>
      <c r="AH37" s="35"/>
      <c r="AI37" s="90"/>
      <c r="AJ37" s="106"/>
      <c r="AK37" s="105"/>
      <c r="AL37" s="90">
        <v>6</v>
      </c>
      <c r="AM37" s="35"/>
      <c r="AN37" s="90"/>
      <c r="AO37" s="106"/>
      <c r="AP37" s="105"/>
      <c r="AQ37" s="90"/>
      <c r="AR37" s="35"/>
      <c r="AS37" s="90"/>
      <c r="AT37" s="106"/>
      <c r="AU37" s="105"/>
      <c r="AV37" s="90"/>
      <c r="AW37" s="35"/>
      <c r="AX37" s="90"/>
      <c r="AY37" s="106"/>
      <c r="AZ37" s="105"/>
      <c r="BA37" s="90">
        <v>2</v>
      </c>
      <c r="BB37" s="35"/>
      <c r="BC37" s="90"/>
      <c r="BD37" s="106"/>
      <c r="BE37" s="105"/>
      <c r="BF37" s="90">
        <v>5</v>
      </c>
      <c r="BG37" s="35"/>
      <c r="BH37" s="90"/>
      <c r="BI37" s="106"/>
      <c r="BJ37" s="105"/>
      <c r="BK37" s="90">
        <f>C37+H37+M37+R37+W37+AB37+AG37+AL37+AQ37+AV37+BA37+BF37</f>
        <v>43</v>
      </c>
      <c r="BL37" s="35"/>
      <c r="BM37" s="90"/>
      <c r="BN37" s="106"/>
    </row>
    <row r="38" spans="1:66" ht="15" thickBot="1" x14ac:dyDescent="0.35">
      <c r="A38" s="115" t="s">
        <v>8</v>
      </c>
      <c r="B38" s="107">
        <f>SUM(B30:B36)</f>
        <v>98</v>
      </c>
      <c r="C38" s="108">
        <f>SUM(C30:C36)</f>
        <v>32</v>
      </c>
      <c r="D38" s="109">
        <f>C38/B38</f>
        <v>0.32653061224489793</v>
      </c>
      <c r="E38" s="108">
        <f>B38-C38</f>
        <v>66</v>
      </c>
      <c r="F38" s="110">
        <f>E38/B38</f>
        <v>0.67346938775510201</v>
      </c>
      <c r="G38" s="107">
        <f>SUM(G30:G36)</f>
        <v>130</v>
      </c>
      <c r="H38" s="108">
        <f>SUM(H30:H36)</f>
        <v>39</v>
      </c>
      <c r="I38" s="109">
        <f>H38/G38</f>
        <v>0.3</v>
      </c>
      <c r="J38" s="108">
        <f>G38-H38</f>
        <v>91</v>
      </c>
      <c r="K38" s="110">
        <f>J38/G38</f>
        <v>0.7</v>
      </c>
      <c r="L38" s="107">
        <f>SUM(L30:L36)</f>
        <v>100</v>
      </c>
      <c r="M38" s="108">
        <f>SUM(M30:M36)</f>
        <v>27</v>
      </c>
      <c r="N38" s="109">
        <f>M38/L38</f>
        <v>0.27</v>
      </c>
      <c r="O38" s="108">
        <f>L38-M38</f>
        <v>73</v>
      </c>
      <c r="P38" s="110">
        <f>O38/L38</f>
        <v>0.73</v>
      </c>
      <c r="Q38" s="107">
        <f>SUM(Q30:Q36)</f>
        <v>101</v>
      </c>
      <c r="R38" s="108">
        <f>SUM(R30:R36)</f>
        <v>22</v>
      </c>
      <c r="S38" s="109">
        <f>R38/Q38</f>
        <v>0.21782178217821782</v>
      </c>
      <c r="T38" s="108">
        <f>Q38-R38</f>
        <v>79</v>
      </c>
      <c r="U38" s="110">
        <f>T38/Q38</f>
        <v>0.78217821782178221</v>
      </c>
      <c r="V38" s="107">
        <f>SUM(V30:V36)</f>
        <v>103</v>
      </c>
      <c r="W38" s="108">
        <f>SUM(W30:W36)</f>
        <v>26</v>
      </c>
      <c r="X38" s="109">
        <f>W38/V38</f>
        <v>0.25242718446601942</v>
      </c>
      <c r="Y38" s="108">
        <f>V38-W38</f>
        <v>77</v>
      </c>
      <c r="Z38" s="110">
        <f>Y38/V38</f>
        <v>0.74757281553398058</v>
      </c>
      <c r="AA38" s="107">
        <f>SUM(AA30:AA36)</f>
        <v>101</v>
      </c>
      <c r="AB38" s="108">
        <f>SUM(AB30:AB36)</f>
        <v>23</v>
      </c>
      <c r="AC38" s="109">
        <f>AB38/AA38</f>
        <v>0.22772277227722773</v>
      </c>
      <c r="AD38" s="108">
        <f>AA38-AB38</f>
        <v>78</v>
      </c>
      <c r="AE38" s="110">
        <f>AD38/AA38</f>
        <v>0.7722772277227723</v>
      </c>
      <c r="AF38" s="107">
        <f>SUM(AF30:AF36)</f>
        <v>128</v>
      </c>
      <c r="AG38" s="108">
        <f>SUM(AG30:AG36)</f>
        <v>21</v>
      </c>
      <c r="AH38" s="109">
        <f>AG38/AF38</f>
        <v>0.1640625</v>
      </c>
      <c r="AI38" s="108">
        <f>AF38-AG38</f>
        <v>107</v>
      </c>
      <c r="AJ38" s="110">
        <f>AI38/AF38</f>
        <v>0.8359375</v>
      </c>
      <c r="AK38" s="107">
        <f>SUM(AK30:AK36)</f>
        <v>169</v>
      </c>
      <c r="AL38" s="108">
        <f>SUM(AL30:AL36)</f>
        <v>56</v>
      </c>
      <c r="AM38" s="109">
        <f>AL38/AK38</f>
        <v>0.33136094674556216</v>
      </c>
      <c r="AN38" s="108">
        <f>AK38-AL38</f>
        <v>113</v>
      </c>
      <c r="AO38" s="110">
        <f>AN38/AK38</f>
        <v>0.66863905325443784</v>
      </c>
      <c r="AP38" s="107">
        <f>SUM(AP30:AP36)</f>
        <v>129</v>
      </c>
      <c r="AQ38" s="108">
        <f>SUM(AQ30:AQ36)</f>
        <v>27</v>
      </c>
      <c r="AR38" s="109">
        <f>AQ38/AP38</f>
        <v>0.20930232558139536</v>
      </c>
      <c r="AS38" s="108">
        <f>AP38-AQ38</f>
        <v>102</v>
      </c>
      <c r="AT38" s="110">
        <f>AS38/AP38</f>
        <v>0.79069767441860461</v>
      </c>
      <c r="AU38" s="107">
        <f>SUM(AU30:AU36)</f>
        <v>109</v>
      </c>
      <c r="AV38" s="108">
        <f>SUM(AV30:AV36)</f>
        <v>35</v>
      </c>
      <c r="AW38" s="109">
        <f>AV38/AU38</f>
        <v>0.32110091743119268</v>
      </c>
      <c r="AX38" s="108">
        <f>AU38-AV38</f>
        <v>74</v>
      </c>
      <c r="AY38" s="110">
        <f>AX38/AU38</f>
        <v>0.67889908256880738</v>
      </c>
      <c r="AZ38" s="107">
        <f>SUM(AZ30:AZ36)</f>
        <v>121</v>
      </c>
      <c r="BA38" s="108">
        <f>SUM(BA30:BA36)</f>
        <v>34</v>
      </c>
      <c r="BB38" s="109">
        <f>BA38/AZ38</f>
        <v>0.28099173553719009</v>
      </c>
      <c r="BC38" s="108">
        <f>AZ38-BA38</f>
        <v>87</v>
      </c>
      <c r="BD38" s="110">
        <f>BC38/AZ38</f>
        <v>0.71900826446280997</v>
      </c>
      <c r="BE38" s="107">
        <f>SUM(BE30:BE36)</f>
        <v>134</v>
      </c>
      <c r="BF38" s="108">
        <f>SUM(BF30:BF36)</f>
        <v>30</v>
      </c>
      <c r="BG38" s="109">
        <f>BF38/BE38</f>
        <v>0.22388059701492538</v>
      </c>
      <c r="BH38" s="108">
        <f>BE38-BF38</f>
        <v>104</v>
      </c>
      <c r="BI38" s="110">
        <f>BH38/BE38</f>
        <v>0.77611940298507465</v>
      </c>
      <c r="BJ38" s="107">
        <f>SUM(BJ30:BJ36)</f>
        <v>1423</v>
      </c>
      <c r="BK38" s="108">
        <f>SUM(BK30:BK36)</f>
        <v>372</v>
      </c>
      <c r="BL38" s="109">
        <f>BK38/BJ38</f>
        <v>0.26141953619114544</v>
      </c>
      <c r="BM38" s="108">
        <f>BJ38-BK38</f>
        <v>1051</v>
      </c>
      <c r="BN38" s="110">
        <f>BM38/BJ38</f>
        <v>0.73858046380885456</v>
      </c>
    </row>
    <row r="39" spans="1:66" ht="15" thickBot="1" x14ac:dyDescent="0.35"/>
    <row r="40" spans="1:66" ht="15" thickBot="1" x14ac:dyDescent="0.35">
      <c r="A40" s="153" t="s">
        <v>106</v>
      </c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  <c r="BN40" s="154"/>
    </row>
    <row r="41" spans="1:66" x14ac:dyDescent="0.3">
      <c r="A41" s="116"/>
      <c r="B41" s="155" t="s">
        <v>29</v>
      </c>
      <c r="C41" s="156"/>
      <c r="D41" s="156"/>
      <c r="E41" s="156"/>
      <c r="F41" s="157"/>
      <c r="G41" s="155" t="s">
        <v>17</v>
      </c>
      <c r="H41" s="156"/>
      <c r="I41" s="156"/>
      <c r="J41" s="156"/>
      <c r="K41" s="157"/>
      <c r="L41" s="155" t="s">
        <v>30</v>
      </c>
      <c r="M41" s="156"/>
      <c r="N41" s="156"/>
      <c r="O41" s="156"/>
      <c r="P41" s="157"/>
      <c r="Q41" s="155" t="s">
        <v>14</v>
      </c>
      <c r="R41" s="156"/>
      <c r="S41" s="156"/>
      <c r="T41" s="156"/>
      <c r="U41" s="157"/>
      <c r="V41" s="155" t="s">
        <v>20</v>
      </c>
      <c r="W41" s="156"/>
      <c r="X41" s="156"/>
      <c r="Y41" s="156"/>
      <c r="Z41" s="157"/>
      <c r="AA41" s="155" t="s">
        <v>21</v>
      </c>
      <c r="AB41" s="156"/>
      <c r="AC41" s="156"/>
      <c r="AD41" s="156"/>
      <c r="AE41" s="157"/>
      <c r="AF41" s="155" t="s">
        <v>31</v>
      </c>
      <c r="AG41" s="156"/>
      <c r="AH41" s="156"/>
      <c r="AI41" s="156"/>
      <c r="AJ41" s="157"/>
      <c r="AK41" s="155" t="s">
        <v>32</v>
      </c>
      <c r="AL41" s="156"/>
      <c r="AM41" s="156"/>
      <c r="AN41" s="156"/>
      <c r="AO41" s="157"/>
      <c r="AP41" s="155" t="s">
        <v>33</v>
      </c>
      <c r="AQ41" s="156"/>
      <c r="AR41" s="156"/>
      <c r="AS41" s="156"/>
      <c r="AT41" s="157"/>
      <c r="AU41" s="155" t="s">
        <v>34</v>
      </c>
      <c r="AV41" s="156"/>
      <c r="AW41" s="156"/>
      <c r="AX41" s="156"/>
      <c r="AY41" s="157"/>
      <c r="AZ41" s="155" t="s">
        <v>35</v>
      </c>
      <c r="BA41" s="156"/>
      <c r="BB41" s="156"/>
      <c r="BC41" s="156"/>
      <c r="BD41" s="157"/>
      <c r="BE41" s="155" t="s">
        <v>36</v>
      </c>
      <c r="BF41" s="156"/>
      <c r="BG41" s="156"/>
      <c r="BH41" s="156"/>
      <c r="BI41" s="157"/>
      <c r="BJ41" s="155">
        <v>2021</v>
      </c>
      <c r="BK41" s="156"/>
      <c r="BL41" s="156"/>
      <c r="BM41" s="156"/>
      <c r="BN41" s="157"/>
    </row>
    <row r="42" spans="1:66" x14ac:dyDescent="0.3">
      <c r="A42" s="111" t="s">
        <v>28</v>
      </c>
      <c r="B42" s="99" t="s">
        <v>8</v>
      </c>
      <c r="C42" s="33" t="s">
        <v>27</v>
      </c>
      <c r="D42" s="33" t="s">
        <v>22</v>
      </c>
      <c r="E42" s="33" t="s">
        <v>25</v>
      </c>
      <c r="F42" s="100" t="s">
        <v>22</v>
      </c>
      <c r="G42" s="99" t="s">
        <v>8</v>
      </c>
      <c r="H42" s="33" t="s">
        <v>27</v>
      </c>
      <c r="I42" s="33" t="s">
        <v>22</v>
      </c>
      <c r="J42" s="33" t="s">
        <v>25</v>
      </c>
      <c r="K42" s="100" t="s">
        <v>22</v>
      </c>
      <c r="L42" s="99" t="s">
        <v>8</v>
      </c>
      <c r="M42" s="33" t="s">
        <v>27</v>
      </c>
      <c r="N42" s="33" t="s">
        <v>22</v>
      </c>
      <c r="O42" s="33" t="s">
        <v>25</v>
      </c>
      <c r="P42" s="100" t="s">
        <v>22</v>
      </c>
      <c r="Q42" s="99" t="s">
        <v>8</v>
      </c>
      <c r="R42" s="33" t="s">
        <v>27</v>
      </c>
      <c r="S42" s="33" t="s">
        <v>22</v>
      </c>
      <c r="T42" s="33" t="s">
        <v>25</v>
      </c>
      <c r="U42" s="100" t="s">
        <v>22</v>
      </c>
      <c r="V42" s="99" t="s">
        <v>8</v>
      </c>
      <c r="W42" s="33" t="s">
        <v>27</v>
      </c>
      <c r="X42" s="33" t="s">
        <v>22</v>
      </c>
      <c r="Y42" s="33" t="s">
        <v>25</v>
      </c>
      <c r="Z42" s="100" t="s">
        <v>22</v>
      </c>
      <c r="AA42" s="99" t="s">
        <v>8</v>
      </c>
      <c r="AB42" s="33" t="s">
        <v>27</v>
      </c>
      <c r="AC42" s="33" t="s">
        <v>22</v>
      </c>
      <c r="AD42" s="33" t="s">
        <v>25</v>
      </c>
      <c r="AE42" s="100" t="s">
        <v>22</v>
      </c>
      <c r="AF42" s="99" t="s">
        <v>8</v>
      </c>
      <c r="AG42" s="33" t="s">
        <v>27</v>
      </c>
      <c r="AH42" s="33" t="s">
        <v>22</v>
      </c>
      <c r="AI42" s="33" t="s">
        <v>25</v>
      </c>
      <c r="AJ42" s="100" t="s">
        <v>22</v>
      </c>
      <c r="AK42" s="99" t="s">
        <v>8</v>
      </c>
      <c r="AL42" s="33" t="s">
        <v>27</v>
      </c>
      <c r="AM42" s="33" t="s">
        <v>22</v>
      </c>
      <c r="AN42" s="33" t="s">
        <v>25</v>
      </c>
      <c r="AO42" s="100" t="s">
        <v>22</v>
      </c>
      <c r="AP42" s="99" t="s">
        <v>8</v>
      </c>
      <c r="AQ42" s="33" t="s">
        <v>27</v>
      </c>
      <c r="AR42" s="33" t="s">
        <v>22</v>
      </c>
      <c r="AS42" s="33" t="s">
        <v>25</v>
      </c>
      <c r="AT42" s="100" t="s">
        <v>22</v>
      </c>
      <c r="AU42" s="99" t="s">
        <v>8</v>
      </c>
      <c r="AV42" s="33" t="s">
        <v>27</v>
      </c>
      <c r="AW42" s="33" t="s">
        <v>22</v>
      </c>
      <c r="AX42" s="33" t="s">
        <v>25</v>
      </c>
      <c r="AY42" s="100" t="s">
        <v>22</v>
      </c>
      <c r="AZ42" s="99" t="s">
        <v>8</v>
      </c>
      <c r="BA42" s="33" t="s">
        <v>27</v>
      </c>
      <c r="BB42" s="33" t="s">
        <v>22</v>
      </c>
      <c r="BC42" s="33" t="s">
        <v>25</v>
      </c>
      <c r="BD42" s="100" t="s">
        <v>22</v>
      </c>
      <c r="BE42" s="99" t="s">
        <v>8</v>
      </c>
      <c r="BF42" s="33" t="s">
        <v>27</v>
      </c>
      <c r="BG42" s="33" t="s">
        <v>22</v>
      </c>
      <c r="BH42" s="33" t="s">
        <v>25</v>
      </c>
      <c r="BI42" s="100" t="s">
        <v>22</v>
      </c>
      <c r="BJ42" s="99" t="s">
        <v>8</v>
      </c>
      <c r="BK42" s="33" t="s">
        <v>27</v>
      </c>
      <c r="BL42" s="33" t="s">
        <v>22</v>
      </c>
      <c r="BM42" s="33" t="s">
        <v>25</v>
      </c>
      <c r="BN42" s="100" t="s">
        <v>22</v>
      </c>
    </row>
    <row r="43" spans="1:66" x14ac:dyDescent="0.3">
      <c r="A43" s="112" t="s">
        <v>12</v>
      </c>
      <c r="B43" s="101">
        <v>32</v>
      </c>
      <c r="C43" s="43">
        <v>12</v>
      </c>
      <c r="D43" s="44">
        <f t="shared" ref="D43:D49" si="317">C43/B43</f>
        <v>0.375</v>
      </c>
      <c r="E43" s="43">
        <f t="shared" ref="E43:E49" si="318">B43-C43</f>
        <v>20</v>
      </c>
      <c r="F43" s="102">
        <f t="shared" ref="F43:F49" si="319">E43/B43</f>
        <v>0.625</v>
      </c>
      <c r="G43" s="101">
        <v>26</v>
      </c>
      <c r="H43" s="43">
        <v>6</v>
      </c>
      <c r="I43" s="44">
        <f t="shared" ref="I43:I49" si="320">H43/G43</f>
        <v>0.23076923076923078</v>
      </c>
      <c r="J43" s="43">
        <f t="shared" ref="J43:J49" si="321">G43-H43</f>
        <v>20</v>
      </c>
      <c r="K43" s="102">
        <f t="shared" ref="K43:K49" si="322">J43/G43</f>
        <v>0.76923076923076927</v>
      </c>
      <c r="L43" s="101">
        <v>26</v>
      </c>
      <c r="M43" s="43">
        <v>8</v>
      </c>
      <c r="N43" s="44">
        <f t="shared" ref="N43:N49" si="323">M43/L43</f>
        <v>0.30769230769230771</v>
      </c>
      <c r="O43" s="43">
        <f t="shared" ref="O43:O49" si="324">L43-M43</f>
        <v>18</v>
      </c>
      <c r="P43" s="102">
        <f t="shared" ref="P43:P49" si="325">O43/L43</f>
        <v>0.69230769230769229</v>
      </c>
      <c r="Q43" s="101">
        <v>26</v>
      </c>
      <c r="R43" s="43">
        <v>4</v>
      </c>
      <c r="S43" s="44">
        <f t="shared" ref="S43:S49" si="326">R43/Q43</f>
        <v>0.15384615384615385</v>
      </c>
      <c r="T43" s="43">
        <f t="shared" ref="T43:T49" si="327">Q43-R43</f>
        <v>22</v>
      </c>
      <c r="U43" s="102">
        <f t="shared" ref="U43:U49" si="328">T43/Q43</f>
        <v>0.84615384615384615</v>
      </c>
      <c r="V43" s="101">
        <v>8</v>
      </c>
      <c r="W43" s="43">
        <v>0</v>
      </c>
      <c r="X43" s="44">
        <f t="shared" ref="X43:X49" si="329">W43/V43</f>
        <v>0</v>
      </c>
      <c r="Y43" s="43">
        <f t="shared" ref="Y43:Y49" si="330">V43-W43</f>
        <v>8</v>
      </c>
      <c r="Z43" s="102">
        <f t="shared" ref="Z43:Z49" si="331">Y43/V43</f>
        <v>1</v>
      </c>
      <c r="AA43" s="101">
        <v>5</v>
      </c>
      <c r="AB43" s="43">
        <v>0</v>
      </c>
      <c r="AC43" s="44">
        <f t="shared" ref="AC43:AC49" si="332">AB43/AA43</f>
        <v>0</v>
      </c>
      <c r="AD43" s="43">
        <f t="shared" ref="AD43:AD49" si="333">AA43-AB43</f>
        <v>5</v>
      </c>
      <c r="AE43" s="102">
        <f t="shared" ref="AE43:AE49" si="334">AD43/AA43</f>
        <v>1</v>
      </c>
      <c r="AF43" s="101">
        <v>23</v>
      </c>
      <c r="AG43" s="43">
        <v>6</v>
      </c>
      <c r="AH43" s="44">
        <f t="shared" ref="AH43:AH49" si="335">AG43/AF43</f>
        <v>0.2608695652173913</v>
      </c>
      <c r="AI43" s="43">
        <f t="shared" ref="AI43:AI49" si="336">AF43-AG43</f>
        <v>17</v>
      </c>
      <c r="AJ43" s="102">
        <f t="shared" ref="AJ43:AJ49" si="337">AI43/AF43</f>
        <v>0.73913043478260865</v>
      </c>
      <c r="AK43" s="101">
        <v>30</v>
      </c>
      <c r="AL43" s="43">
        <v>9</v>
      </c>
      <c r="AM43" s="44">
        <f t="shared" ref="AM43:AM49" si="338">AL43/AK43</f>
        <v>0.3</v>
      </c>
      <c r="AN43" s="43">
        <f t="shared" ref="AN43:AN49" si="339">AK43-AL43</f>
        <v>21</v>
      </c>
      <c r="AO43" s="102">
        <f t="shared" ref="AO43:AO49" si="340">AN43/AK43</f>
        <v>0.7</v>
      </c>
      <c r="AP43" s="101">
        <v>26</v>
      </c>
      <c r="AQ43" s="43">
        <v>16</v>
      </c>
      <c r="AR43" s="44">
        <f t="shared" ref="AR43:AR49" si="341">AQ43/AP43</f>
        <v>0.61538461538461542</v>
      </c>
      <c r="AS43" s="43">
        <f t="shared" ref="AS43:AS49" si="342">AP43-AQ43</f>
        <v>10</v>
      </c>
      <c r="AT43" s="102">
        <f t="shared" ref="AT43:AT49" si="343">AS43/AP43</f>
        <v>0.38461538461538464</v>
      </c>
      <c r="AU43" s="101">
        <v>26</v>
      </c>
      <c r="AV43" s="43">
        <v>9</v>
      </c>
      <c r="AW43" s="44">
        <f t="shared" ref="AW43:AW49" si="344">AV43/AU43</f>
        <v>0.34615384615384615</v>
      </c>
      <c r="AX43" s="43">
        <f t="shared" ref="AX43:AX49" si="345">AU43-AV43</f>
        <v>17</v>
      </c>
      <c r="AY43" s="102">
        <f t="shared" ref="AY43:AY49" si="346">AX43/AU43</f>
        <v>0.65384615384615385</v>
      </c>
      <c r="AZ43" s="101">
        <v>19</v>
      </c>
      <c r="BA43" s="43">
        <v>5</v>
      </c>
      <c r="BB43" s="44">
        <f t="shared" ref="BB43:BB49" si="347">BA43/AZ43</f>
        <v>0.26315789473684209</v>
      </c>
      <c r="BC43" s="43">
        <f t="shared" ref="BC43:BC49" si="348">AZ43-BA43</f>
        <v>14</v>
      </c>
      <c r="BD43" s="102">
        <f t="shared" ref="BD43:BD49" si="349">BC43/AZ43</f>
        <v>0.73684210526315785</v>
      </c>
      <c r="BE43" s="101">
        <v>20</v>
      </c>
      <c r="BF43" s="43">
        <v>12</v>
      </c>
      <c r="BG43" s="44">
        <f t="shared" ref="BG43:BG49" si="350">BF43/BE43</f>
        <v>0.6</v>
      </c>
      <c r="BH43" s="43">
        <f t="shared" ref="BH43:BH49" si="351">BE43-BF43</f>
        <v>8</v>
      </c>
      <c r="BI43" s="102">
        <f t="shared" ref="BI43:BI49" si="352">BH43/BE43</f>
        <v>0.4</v>
      </c>
      <c r="BJ43" s="101">
        <f t="shared" ref="BJ43:BJ49" si="353">B43+G43+L43+Q43+V43+AA43+AF43+AK43+AP43+AU43+AZ43+BE43</f>
        <v>267</v>
      </c>
      <c r="BK43" s="43">
        <f t="shared" ref="BK43:BK49" si="354">C43+H43+M43+R43+W43+AB43+AG43+AL43+AQ43+AV43+BA43+BF43</f>
        <v>87</v>
      </c>
      <c r="BL43" s="44">
        <f t="shared" ref="BL43:BL49" si="355">BK43/BJ43</f>
        <v>0.3258426966292135</v>
      </c>
      <c r="BM43" s="43">
        <f t="shared" ref="BM43:BM49" si="356">BJ43-BK43</f>
        <v>180</v>
      </c>
      <c r="BN43" s="102">
        <f t="shared" ref="BN43:BN49" si="357">BM43/BJ43</f>
        <v>0.6741573033707865</v>
      </c>
    </row>
    <row r="44" spans="1:66" x14ac:dyDescent="0.3">
      <c r="A44" s="112" t="s">
        <v>16</v>
      </c>
      <c r="B44" s="101">
        <v>16</v>
      </c>
      <c r="C44" s="43">
        <v>3</v>
      </c>
      <c r="D44" s="44">
        <f t="shared" si="317"/>
        <v>0.1875</v>
      </c>
      <c r="E44" s="43">
        <f t="shared" si="318"/>
        <v>13</v>
      </c>
      <c r="F44" s="102">
        <f t="shared" si="319"/>
        <v>0.8125</v>
      </c>
      <c r="G44" s="101">
        <v>13</v>
      </c>
      <c r="H44" s="43">
        <v>7</v>
      </c>
      <c r="I44" s="44">
        <f t="shared" si="320"/>
        <v>0.53846153846153844</v>
      </c>
      <c r="J44" s="43">
        <f t="shared" si="321"/>
        <v>6</v>
      </c>
      <c r="K44" s="102">
        <f t="shared" si="322"/>
        <v>0.46153846153846156</v>
      </c>
      <c r="L44" s="101">
        <v>19</v>
      </c>
      <c r="M44" s="43">
        <v>4</v>
      </c>
      <c r="N44" s="44">
        <f t="shared" si="323"/>
        <v>0.21052631578947367</v>
      </c>
      <c r="O44" s="43">
        <f t="shared" si="324"/>
        <v>15</v>
      </c>
      <c r="P44" s="102">
        <f t="shared" si="325"/>
        <v>0.78947368421052633</v>
      </c>
      <c r="Q44" s="101">
        <v>15</v>
      </c>
      <c r="R44" s="43">
        <v>6</v>
      </c>
      <c r="S44" s="44">
        <f t="shared" si="326"/>
        <v>0.4</v>
      </c>
      <c r="T44" s="43">
        <f t="shared" si="327"/>
        <v>9</v>
      </c>
      <c r="U44" s="102">
        <f t="shared" si="328"/>
        <v>0.6</v>
      </c>
      <c r="V44" s="101">
        <v>7</v>
      </c>
      <c r="W44" s="43">
        <v>0</v>
      </c>
      <c r="X44" s="44">
        <f t="shared" si="329"/>
        <v>0</v>
      </c>
      <c r="Y44" s="43">
        <f t="shared" si="330"/>
        <v>7</v>
      </c>
      <c r="Z44" s="102">
        <f t="shared" si="331"/>
        <v>1</v>
      </c>
      <c r="AA44" s="101">
        <v>3</v>
      </c>
      <c r="AB44" s="43">
        <v>3</v>
      </c>
      <c r="AC44" s="44">
        <f t="shared" si="332"/>
        <v>1</v>
      </c>
      <c r="AD44" s="43">
        <f t="shared" si="333"/>
        <v>0</v>
      </c>
      <c r="AE44" s="102">
        <f t="shared" si="334"/>
        <v>0</v>
      </c>
      <c r="AF44" s="101">
        <v>18</v>
      </c>
      <c r="AG44" s="43">
        <v>4</v>
      </c>
      <c r="AH44" s="44">
        <f t="shared" si="335"/>
        <v>0.22222222222222221</v>
      </c>
      <c r="AI44" s="43">
        <f t="shared" si="336"/>
        <v>14</v>
      </c>
      <c r="AJ44" s="102">
        <f t="shared" si="337"/>
        <v>0.77777777777777779</v>
      </c>
      <c r="AK44" s="101">
        <v>17</v>
      </c>
      <c r="AL44" s="43">
        <v>4</v>
      </c>
      <c r="AM44" s="44">
        <f t="shared" si="338"/>
        <v>0.23529411764705882</v>
      </c>
      <c r="AN44" s="43">
        <f t="shared" si="339"/>
        <v>13</v>
      </c>
      <c r="AO44" s="102">
        <f t="shared" si="340"/>
        <v>0.76470588235294112</v>
      </c>
      <c r="AP44" s="101">
        <v>15</v>
      </c>
      <c r="AQ44" s="43">
        <v>7</v>
      </c>
      <c r="AR44" s="44">
        <f t="shared" si="341"/>
        <v>0.46666666666666667</v>
      </c>
      <c r="AS44" s="43">
        <f t="shared" si="342"/>
        <v>8</v>
      </c>
      <c r="AT44" s="102">
        <f t="shared" si="343"/>
        <v>0.53333333333333333</v>
      </c>
      <c r="AU44" s="101">
        <v>10</v>
      </c>
      <c r="AV44" s="43">
        <v>3</v>
      </c>
      <c r="AW44" s="44">
        <f t="shared" si="344"/>
        <v>0.3</v>
      </c>
      <c r="AX44" s="43">
        <f t="shared" si="345"/>
        <v>7</v>
      </c>
      <c r="AY44" s="102">
        <f t="shared" si="346"/>
        <v>0.7</v>
      </c>
      <c r="AZ44" s="101">
        <v>22</v>
      </c>
      <c r="BA44" s="43">
        <v>4</v>
      </c>
      <c r="BB44" s="44">
        <f t="shared" si="347"/>
        <v>0.18181818181818182</v>
      </c>
      <c r="BC44" s="43">
        <f t="shared" si="348"/>
        <v>18</v>
      </c>
      <c r="BD44" s="102">
        <f t="shared" si="349"/>
        <v>0.81818181818181823</v>
      </c>
      <c r="BE44" s="101">
        <v>9</v>
      </c>
      <c r="BF44" s="43">
        <v>3</v>
      </c>
      <c r="BG44" s="44">
        <f t="shared" si="350"/>
        <v>0.33333333333333331</v>
      </c>
      <c r="BH44" s="43">
        <f t="shared" si="351"/>
        <v>6</v>
      </c>
      <c r="BI44" s="102">
        <f t="shared" si="352"/>
        <v>0.66666666666666663</v>
      </c>
      <c r="BJ44" s="101">
        <f t="shared" si="353"/>
        <v>164</v>
      </c>
      <c r="BK44" s="43">
        <f t="shared" si="354"/>
        <v>48</v>
      </c>
      <c r="BL44" s="44">
        <f t="shared" si="355"/>
        <v>0.29268292682926828</v>
      </c>
      <c r="BM44" s="43">
        <f t="shared" si="356"/>
        <v>116</v>
      </c>
      <c r="BN44" s="102">
        <f t="shared" si="357"/>
        <v>0.70731707317073167</v>
      </c>
    </row>
    <row r="45" spans="1:66" x14ac:dyDescent="0.3">
      <c r="A45" s="112" t="s">
        <v>19</v>
      </c>
      <c r="B45" s="101">
        <v>13</v>
      </c>
      <c r="C45" s="43">
        <v>10</v>
      </c>
      <c r="D45" s="44">
        <f t="shared" si="317"/>
        <v>0.76923076923076927</v>
      </c>
      <c r="E45" s="43">
        <f t="shared" si="318"/>
        <v>3</v>
      </c>
      <c r="F45" s="102">
        <f t="shared" si="319"/>
        <v>0.23076923076923078</v>
      </c>
      <c r="G45" s="101">
        <v>17</v>
      </c>
      <c r="H45" s="43">
        <v>10</v>
      </c>
      <c r="I45" s="44">
        <f t="shared" si="320"/>
        <v>0.58823529411764708</v>
      </c>
      <c r="J45" s="43">
        <f t="shared" si="321"/>
        <v>7</v>
      </c>
      <c r="K45" s="102">
        <f t="shared" si="322"/>
        <v>0.41176470588235292</v>
      </c>
      <c r="L45" s="101">
        <v>18</v>
      </c>
      <c r="M45" s="43">
        <v>8</v>
      </c>
      <c r="N45" s="44">
        <f t="shared" si="323"/>
        <v>0.44444444444444442</v>
      </c>
      <c r="O45" s="43">
        <f t="shared" si="324"/>
        <v>10</v>
      </c>
      <c r="P45" s="102">
        <f t="shared" si="325"/>
        <v>0.55555555555555558</v>
      </c>
      <c r="Q45" s="101">
        <v>15</v>
      </c>
      <c r="R45" s="43">
        <v>5</v>
      </c>
      <c r="S45" s="44">
        <f t="shared" si="326"/>
        <v>0.33333333333333331</v>
      </c>
      <c r="T45" s="43">
        <f t="shared" si="327"/>
        <v>10</v>
      </c>
      <c r="U45" s="102">
        <f t="shared" si="328"/>
        <v>0.66666666666666663</v>
      </c>
      <c r="V45" s="101">
        <v>3</v>
      </c>
      <c r="W45" s="43">
        <v>1</v>
      </c>
      <c r="X45" s="44">
        <f t="shared" si="329"/>
        <v>0.33333333333333331</v>
      </c>
      <c r="Y45" s="43">
        <f t="shared" si="330"/>
        <v>2</v>
      </c>
      <c r="Z45" s="102">
        <f t="shared" si="331"/>
        <v>0.66666666666666663</v>
      </c>
      <c r="AA45" s="101">
        <v>7</v>
      </c>
      <c r="AB45" s="43">
        <v>3</v>
      </c>
      <c r="AC45" s="44">
        <f t="shared" si="332"/>
        <v>0.42857142857142855</v>
      </c>
      <c r="AD45" s="43">
        <f t="shared" si="333"/>
        <v>4</v>
      </c>
      <c r="AE45" s="102">
        <f t="shared" si="334"/>
        <v>0.5714285714285714</v>
      </c>
      <c r="AF45" s="101">
        <v>13</v>
      </c>
      <c r="AG45" s="43">
        <v>7</v>
      </c>
      <c r="AH45" s="44">
        <f t="shared" si="335"/>
        <v>0.53846153846153844</v>
      </c>
      <c r="AI45" s="43">
        <f t="shared" si="336"/>
        <v>6</v>
      </c>
      <c r="AJ45" s="102">
        <f t="shared" si="337"/>
        <v>0.46153846153846156</v>
      </c>
      <c r="AK45" s="101">
        <v>23</v>
      </c>
      <c r="AL45" s="43">
        <v>4</v>
      </c>
      <c r="AM45" s="44">
        <f t="shared" si="338"/>
        <v>0.17391304347826086</v>
      </c>
      <c r="AN45" s="43">
        <f t="shared" si="339"/>
        <v>19</v>
      </c>
      <c r="AO45" s="102">
        <f t="shared" si="340"/>
        <v>0.82608695652173914</v>
      </c>
      <c r="AP45" s="101">
        <v>15</v>
      </c>
      <c r="AQ45" s="43">
        <v>5</v>
      </c>
      <c r="AR45" s="44">
        <f t="shared" si="341"/>
        <v>0.33333333333333331</v>
      </c>
      <c r="AS45" s="43">
        <f t="shared" si="342"/>
        <v>10</v>
      </c>
      <c r="AT45" s="102">
        <f t="shared" si="343"/>
        <v>0.66666666666666663</v>
      </c>
      <c r="AU45" s="101">
        <v>7</v>
      </c>
      <c r="AV45" s="43">
        <v>2</v>
      </c>
      <c r="AW45" s="44">
        <f t="shared" si="344"/>
        <v>0.2857142857142857</v>
      </c>
      <c r="AX45" s="43">
        <f t="shared" si="345"/>
        <v>5</v>
      </c>
      <c r="AY45" s="102">
        <f t="shared" si="346"/>
        <v>0.7142857142857143</v>
      </c>
      <c r="AZ45" s="101">
        <v>10</v>
      </c>
      <c r="BA45" s="43">
        <v>3</v>
      </c>
      <c r="BB45" s="44">
        <f t="shared" si="347"/>
        <v>0.3</v>
      </c>
      <c r="BC45" s="43">
        <f t="shared" si="348"/>
        <v>7</v>
      </c>
      <c r="BD45" s="102">
        <f t="shared" si="349"/>
        <v>0.7</v>
      </c>
      <c r="BE45" s="101">
        <v>11</v>
      </c>
      <c r="BF45" s="43">
        <v>6</v>
      </c>
      <c r="BG45" s="44">
        <f t="shared" si="350"/>
        <v>0.54545454545454541</v>
      </c>
      <c r="BH45" s="43">
        <f t="shared" si="351"/>
        <v>5</v>
      </c>
      <c r="BI45" s="102">
        <f t="shared" si="352"/>
        <v>0.45454545454545453</v>
      </c>
      <c r="BJ45" s="101">
        <f t="shared" si="353"/>
        <v>152</v>
      </c>
      <c r="BK45" s="43">
        <f t="shared" si="354"/>
        <v>64</v>
      </c>
      <c r="BL45" s="44">
        <f t="shared" si="355"/>
        <v>0.42105263157894735</v>
      </c>
      <c r="BM45" s="43">
        <f t="shared" si="356"/>
        <v>88</v>
      </c>
      <c r="BN45" s="102">
        <f t="shared" si="357"/>
        <v>0.57894736842105265</v>
      </c>
    </row>
    <row r="46" spans="1:66" x14ac:dyDescent="0.3">
      <c r="A46" s="113" t="s">
        <v>18</v>
      </c>
      <c r="B46" s="103">
        <v>14</v>
      </c>
      <c r="C46" s="34">
        <v>1</v>
      </c>
      <c r="D46" s="35">
        <f t="shared" si="317"/>
        <v>7.1428571428571425E-2</v>
      </c>
      <c r="E46" s="34">
        <f t="shared" si="318"/>
        <v>13</v>
      </c>
      <c r="F46" s="104">
        <f t="shared" si="319"/>
        <v>0.9285714285714286</v>
      </c>
      <c r="G46" s="103">
        <v>23</v>
      </c>
      <c r="H46" s="34">
        <v>6</v>
      </c>
      <c r="I46" s="35">
        <f t="shared" si="320"/>
        <v>0.2608695652173913</v>
      </c>
      <c r="J46" s="34">
        <f t="shared" si="321"/>
        <v>17</v>
      </c>
      <c r="K46" s="104">
        <f t="shared" si="322"/>
        <v>0.73913043478260865</v>
      </c>
      <c r="L46" s="103">
        <v>27</v>
      </c>
      <c r="M46" s="34">
        <v>4</v>
      </c>
      <c r="N46" s="35">
        <f t="shared" si="323"/>
        <v>0.14814814814814814</v>
      </c>
      <c r="O46" s="34">
        <f t="shared" si="324"/>
        <v>23</v>
      </c>
      <c r="P46" s="104">
        <f t="shared" si="325"/>
        <v>0.85185185185185186</v>
      </c>
      <c r="Q46" s="103">
        <v>19</v>
      </c>
      <c r="R46" s="34">
        <v>5</v>
      </c>
      <c r="S46" s="35">
        <f t="shared" si="326"/>
        <v>0.26315789473684209</v>
      </c>
      <c r="T46" s="34">
        <f t="shared" si="327"/>
        <v>14</v>
      </c>
      <c r="U46" s="104">
        <f t="shared" si="328"/>
        <v>0.73684210526315785</v>
      </c>
      <c r="V46" s="103">
        <v>0</v>
      </c>
      <c r="W46" s="34">
        <v>0</v>
      </c>
      <c r="X46" s="35" t="e">
        <f t="shared" si="329"/>
        <v>#DIV/0!</v>
      </c>
      <c r="Y46" s="34">
        <f t="shared" si="330"/>
        <v>0</v>
      </c>
      <c r="Z46" s="104" t="e">
        <f t="shared" si="331"/>
        <v>#DIV/0!</v>
      </c>
      <c r="AA46" s="103">
        <v>9</v>
      </c>
      <c r="AB46" s="34">
        <v>0</v>
      </c>
      <c r="AC46" s="35">
        <f t="shared" si="332"/>
        <v>0</v>
      </c>
      <c r="AD46" s="34">
        <f t="shared" si="333"/>
        <v>9</v>
      </c>
      <c r="AE46" s="104">
        <f t="shared" si="334"/>
        <v>1</v>
      </c>
      <c r="AF46" s="105">
        <v>17</v>
      </c>
      <c r="AG46" s="90">
        <v>1</v>
      </c>
      <c r="AH46" s="35">
        <f t="shared" si="335"/>
        <v>5.8823529411764705E-2</v>
      </c>
      <c r="AI46" s="34">
        <f t="shared" si="336"/>
        <v>16</v>
      </c>
      <c r="AJ46" s="104">
        <f t="shared" si="337"/>
        <v>0.94117647058823528</v>
      </c>
      <c r="AK46" s="105">
        <v>23</v>
      </c>
      <c r="AL46" s="90">
        <v>0</v>
      </c>
      <c r="AM46" s="35">
        <f t="shared" si="338"/>
        <v>0</v>
      </c>
      <c r="AN46" s="34">
        <f t="shared" si="339"/>
        <v>23</v>
      </c>
      <c r="AO46" s="104">
        <f t="shared" si="340"/>
        <v>1</v>
      </c>
      <c r="AP46" s="105">
        <v>12</v>
      </c>
      <c r="AQ46" s="90">
        <v>2</v>
      </c>
      <c r="AR46" s="35">
        <f t="shared" si="341"/>
        <v>0.16666666666666666</v>
      </c>
      <c r="AS46" s="34">
        <f t="shared" si="342"/>
        <v>10</v>
      </c>
      <c r="AT46" s="104">
        <f t="shared" si="343"/>
        <v>0.83333333333333337</v>
      </c>
      <c r="AU46" s="105">
        <v>10</v>
      </c>
      <c r="AV46" s="90">
        <v>4</v>
      </c>
      <c r="AW46" s="35">
        <f t="shared" si="344"/>
        <v>0.4</v>
      </c>
      <c r="AX46" s="34">
        <f t="shared" si="345"/>
        <v>6</v>
      </c>
      <c r="AY46" s="104">
        <f t="shared" si="346"/>
        <v>0.6</v>
      </c>
      <c r="AZ46" s="105">
        <v>11</v>
      </c>
      <c r="BA46" s="90">
        <v>2</v>
      </c>
      <c r="BB46" s="35">
        <f t="shared" si="347"/>
        <v>0.18181818181818182</v>
      </c>
      <c r="BC46" s="34">
        <f t="shared" si="348"/>
        <v>9</v>
      </c>
      <c r="BD46" s="104">
        <f t="shared" si="349"/>
        <v>0.81818181818181823</v>
      </c>
      <c r="BE46" s="105">
        <v>12</v>
      </c>
      <c r="BF46" s="90">
        <v>2</v>
      </c>
      <c r="BG46" s="35">
        <f t="shared" si="350"/>
        <v>0.16666666666666666</v>
      </c>
      <c r="BH46" s="34">
        <f t="shared" si="351"/>
        <v>10</v>
      </c>
      <c r="BI46" s="104">
        <f t="shared" si="352"/>
        <v>0.83333333333333337</v>
      </c>
      <c r="BJ46" s="105">
        <f t="shared" si="353"/>
        <v>177</v>
      </c>
      <c r="BK46" s="90">
        <f t="shared" si="354"/>
        <v>27</v>
      </c>
      <c r="BL46" s="35">
        <f t="shared" si="355"/>
        <v>0.15254237288135594</v>
      </c>
      <c r="BM46" s="34">
        <f t="shared" si="356"/>
        <v>150</v>
      </c>
      <c r="BN46" s="104">
        <f t="shared" si="357"/>
        <v>0.84745762711864403</v>
      </c>
    </row>
    <row r="47" spans="1:66" x14ac:dyDescent="0.3">
      <c r="A47" s="113" t="s">
        <v>23</v>
      </c>
      <c r="B47" s="103">
        <v>31</v>
      </c>
      <c r="C47" s="34">
        <v>16</v>
      </c>
      <c r="D47" s="35">
        <f t="shared" si="317"/>
        <v>0.5161290322580645</v>
      </c>
      <c r="E47" s="34">
        <f t="shared" si="318"/>
        <v>15</v>
      </c>
      <c r="F47" s="104">
        <f t="shared" si="319"/>
        <v>0.4838709677419355</v>
      </c>
      <c r="G47" s="103">
        <v>38</v>
      </c>
      <c r="H47" s="34">
        <v>7</v>
      </c>
      <c r="I47" s="35">
        <f t="shared" si="320"/>
        <v>0.18421052631578946</v>
      </c>
      <c r="J47" s="34">
        <f t="shared" si="321"/>
        <v>31</v>
      </c>
      <c r="K47" s="104">
        <f t="shared" si="322"/>
        <v>0.81578947368421051</v>
      </c>
      <c r="L47" s="103">
        <v>45</v>
      </c>
      <c r="M47" s="34">
        <v>9</v>
      </c>
      <c r="N47" s="35">
        <f t="shared" si="323"/>
        <v>0.2</v>
      </c>
      <c r="O47" s="34">
        <f t="shared" si="324"/>
        <v>36</v>
      </c>
      <c r="P47" s="104">
        <f t="shared" si="325"/>
        <v>0.8</v>
      </c>
      <c r="Q47" s="103">
        <v>34</v>
      </c>
      <c r="R47" s="34">
        <v>7</v>
      </c>
      <c r="S47" s="35">
        <f t="shared" si="326"/>
        <v>0.20588235294117646</v>
      </c>
      <c r="T47" s="34">
        <f t="shared" si="327"/>
        <v>27</v>
      </c>
      <c r="U47" s="104">
        <f t="shared" si="328"/>
        <v>0.79411764705882348</v>
      </c>
      <c r="V47" s="103">
        <v>13</v>
      </c>
      <c r="W47" s="34">
        <v>2</v>
      </c>
      <c r="X47" s="35">
        <f t="shared" si="329"/>
        <v>0.15384615384615385</v>
      </c>
      <c r="Y47" s="34">
        <f t="shared" si="330"/>
        <v>11</v>
      </c>
      <c r="Z47" s="104">
        <f t="shared" si="331"/>
        <v>0.84615384615384615</v>
      </c>
      <c r="AA47" s="103">
        <v>19</v>
      </c>
      <c r="AB47" s="34">
        <v>2</v>
      </c>
      <c r="AC47" s="35">
        <f t="shared" si="332"/>
        <v>0.10526315789473684</v>
      </c>
      <c r="AD47" s="34">
        <f t="shared" si="333"/>
        <v>17</v>
      </c>
      <c r="AE47" s="104">
        <f t="shared" si="334"/>
        <v>0.89473684210526316</v>
      </c>
      <c r="AF47" s="105">
        <v>31</v>
      </c>
      <c r="AG47" s="90">
        <v>11</v>
      </c>
      <c r="AH47" s="35">
        <f t="shared" si="335"/>
        <v>0.35483870967741937</v>
      </c>
      <c r="AI47" s="34">
        <f t="shared" si="336"/>
        <v>20</v>
      </c>
      <c r="AJ47" s="104">
        <f t="shared" si="337"/>
        <v>0.64516129032258063</v>
      </c>
      <c r="AK47" s="105">
        <v>36</v>
      </c>
      <c r="AL47" s="90">
        <v>10</v>
      </c>
      <c r="AM47" s="35">
        <f t="shared" si="338"/>
        <v>0.27777777777777779</v>
      </c>
      <c r="AN47" s="34">
        <f t="shared" si="339"/>
        <v>26</v>
      </c>
      <c r="AO47" s="104">
        <f t="shared" si="340"/>
        <v>0.72222222222222221</v>
      </c>
      <c r="AP47" s="105">
        <v>38</v>
      </c>
      <c r="AQ47" s="90">
        <v>3</v>
      </c>
      <c r="AR47" s="35">
        <f t="shared" si="341"/>
        <v>7.8947368421052627E-2</v>
      </c>
      <c r="AS47" s="34">
        <f t="shared" si="342"/>
        <v>35</v>
      </c>
      <c r="AT47" s="104">
        <f t="shared" si="343"/>
        <v>0.92105263157894735</v>
      </c>
      <c r="AU47" s="105">
        <v>20</v>
      </c>
      <c r="AV47" s="90">
        <v>3</v>
      </c>
      <c r="AW47" s="35">
        <f t="shared" si="344"/>
        <v>0.15</v>
      </c>
      <c r="AX47" s="34">
        <f t="shared" si="345"/>
        <v>17</v>
      </c>
      <c r="AY47" s="104">
        <f t="shared" si="346"/>
        <v>0.85</v>
      </c>
      <c r="AZ47" s="105">
        <v>16</v>
      </c>
      <c r="BA47" s="90">
        <v>4</v>
      </c>
      <c r="BB47" s="35">
        <f t="shared" si="347"/>
        <v>0.25</v>
      </c>
      <c r="BC47" s="34">
        <f t="shared" si="348"/>
        <v>12</v>
      </c>
      <c r="BD47" s="104">
        <f t="shared" si="349"/>
        <v>0.75</v>
      </c>
      <c r="BE47" s="105">
        <v>15</v>
      </c>
      <c r="BF47" s="90">
        <v>6</v>
      </c>
      <c r="BG47" s="35">
        <f t="shared" si="350"/>
        <v>0.4</v>
      </c>
      <c r="BH47" s="34">
        <f t="shared" si="351"/>
        <v>9</v>
      </c>
      <c r="BI47" s="104">
        <f t="shared" si="352"/>
        <v>0.6</v>
      </c>
      <c r="BJ47" s="105">
        <f t="shared" si="353"/>
        <v>336</v>
      </c>
      <c r="BK47" s="90">
        <f t="shared" si="354"/>
        <v>80</v>
      </c>
      <c r="BL47" s="35">
        <f t="shared" si="355"/>
        <v>0.23809523809523808</v>
      </c>
      <c r="BM47" s="34">
        <f t="shared" si="356"/>
        <v>256</v>
      </c>
      <c r="BN47" s="104">
        <f t="shared" si="357"/>
        <v>0.76190476190476186</v>
      </c>
    </row>
    <row r="48" spans="1:66" x14ac:dyDescent="0.3">
      <c r="A48" s="112" t="s">
        <v>24</v>
      </c>
      <c r="B48" s="101">
        <v>34</v>
      </c>
      <c r="C48" s="43">
        <v>20</v>
      </c>
      <c r="D48" s="44">
        <f t="shared" si="317"/>
        <v>0.58823529411764708</v>
      </c>
      <c r="E48" s="43">
        <f t="shared" si="318"/>
        <v>14</v>
      </c>
      <c r="F48" s="102">
        <f t="shared" si="319"/>
        <v>0.41176470588235292</v>
      </c>
      <c r="G48" s="101">
        <v>24</v>
      </c>
      <c r="H48" s="43">
        <v>23</v>
      </c>
      <c r="I48" s="44">
        <f t="shared" si="320"/>
        <v>0.95833333333333337</v>
      </c>
      <c r="J48" s="43">
        <f t="shared" si="321"/>
        <v>1</v>
      </c>
      <c r="K48" s="102">
        <f t="shared" si="322"/>
        <v>4.1666666666666664E-2</v>
      </c>
      <c r="L48" s="101">
        <v>38</v>
      </c>
      <c r="M48" s="43">
        <v>17</v>
      </c>
      <c r="N48" s="44">
        <f t="shared" si="323"/>
        <v>0.44736842105263158</v>
      </c>
      <c r="O48" s="43">
        <f t="shared" si="324"/>
        <v>21</v>
      </c>
      <c r="P48" s="102">
        <f t="shared" si="325"/>
        <v>0.55263157894736847</v>
      </c>
      <c r="Q48" s="101">
        <v>16</v>
      </c>
      <c r="R48" s="43">
        <v>8</v>
      </c>
      <c r="S48" s="44">
        <f t="shared" si="326"/>
        <v>0.5</v>
      </c>
      <c r="T48" s="43">
        <f t="shared" si="327"/>
        <v>8</v>
      </c>
      <c r="U48" s="102">
        <f t="shared" si="328"/>
        <v>0.5</v>
      </c>
      <c r="V48" s="101">
        <v>16</v>
      </c>
      <c r="W48" s="43">
        <v>1</v>
      </c>
      <c r="X48" s="44">
        <f t="shared" si="329"/>
        <v>6.25E-2</v>
      </c>
      <c r="Y48" s="43">
        <f t="shared" si="330"/>
        <v>15</v>
      </c>
      <c r="Z48" s="102">
        <f t="shared" si="331"/>
        <v>0.9375</v>
      </c>
      <c r="AA48" s="101">
        <v>13</v>
      </c>
      <c r="AB48" s="43">
        <v>4</v>
      </c>
      <c r="AC48" s="44">
        <f t="shared" si="332"/>
        <v>0.30769230769230771</v>
      </c>
      <c r="AD48" s="43">
        <f t="shared" si="333"/>
        <v>9</v>
      </c>
      <c r="AE48" s="102">
        <f t="shared" si="334"/>
        <v>0.69230769230769229</v>
      </c>
      <c r="AF48" s="101">
        <v>21</v>
      </c>
      <c r="AG48" s="43">
        <v>11</v>
      </c>
      <c r="AH48" s="44">
        <f t="shared" si="335"/>
        <v>0.52380952380952384</v>
      </c>
      <c r="AI48" s="43">
        <f t="shared" si="336"/>
        <v>10</v>
      </c>
      <c r="AJ48" s="102">
        <f t="shared" si="337"/>
        <v>0.47619047619047616</v>
      </c>
      <c r="AK48" s="101">
        <v>36</v>
      </c>
      <c r="AL48" s="43">
        <v>23</v>
      </c>
      <c r="AM48" s="44">
        <f t="shared" si="338"/>
        <v>0.63888888888888884</v>
      </c>
      <c r="AN48" s="43">
        <f t="shared" si="339"/>
        <v>13</v>
      </c>
      <c r="AO48" s="102">
        <f t="shared" si="340"/>
        <v>0.3611111111111111</v>
      </c>
      <c r="AP48" s="101">
        <v>33</v>
      </c>
      <c r="AQ48" s="43">
        <v>11</v>
      </c>
      <c r="AR48" s="44">
        <f t="shared" si="341"/>
        <v>0.33333333333333331</v>
      </c>
      <c r="AS48" s="43">
        <f t="shared" si="342"/>
        <v>22</v>
      </c>
      <c r="AT48" s="102">
        <f t="shared" si="343"/>
        <v>0.66666666666666663</v>
      </c>
      <c r="AU48" s="101">
        <v>15</v>
      </c>
      <c r="AV48" s="43">
        <v>6</v>
      </c>
      <c r="AW48" s="44">
        <f t="shared" si="344"/>
        <v>0.4</v>
      </c>
      <c r="AX48" s="43">
        <f t="shared" si="345"/>
        <v>9</v>
      </c>
      <c r="AY48" s="102">
        <f t="shared" si="346"/>
        <v>0.6</v>
      </c>
      <c r="AZ48" s="101">
        <v>18</v>
      </c>
      <c r="BA48" s="43">
        <v>10</v>
      </c>
      <c r="BB48" s="44">
        <f t="shared" si="347"/>
        <v>0.55555555555555558</v>
      </c>
      <c r="BC48" s="43">
        <f t="shared" si="348"/>
        <v>8</v>
      </c>
      <c r="BD48" s="102">
        <f t="shared" si="349"/>
        <v>0.44444444444444442</v>
      </c>
      <c r="BE48" s="101">
        <v>24</v>
      </c>
      <c r="BF48" s="43">
        <v>12</v>
      </c>
      <c r="BG48" s="44">
        <f t="shared" si="350"/>
        <v>0.5</v>
      </c>
      <c r="BH48" s="43">
        <f t="shared" si="351"/>
        <v>12</v>
      </c>
      <c r="BI48" s="102">
        <f t="shared" si="352"/>
        <v>0.5</v>
      </c>
      <c r="BJ48" s="101">
        <f t="shared" si="353"/>
        <v>288</v>
      </c>
      <c r="BK48" s="43">
        <f t="shared" si="354"/>
        <v>146</v>
      </c>
      <c r="BL48" s="44">
        <f t="shared" si="355"/>
        <v>0.50694444444444442</v>
      </c>
      <c r="BM48" s="43">
        <f t="shared" si="356"/>
        <v>142</v>
      </c>
      <c r="BN48" s="102">
        <f t="shared" si="357"/>
        <v>0.49305555555555558</v>
      </c>
    </row>
    <row r="49" spans="1:66" x14ac:dyDescent="0.3">
      <c r="A49" s="112" t="s">
        <v>15</v>
      </c>
      <c r="B49" s="101">
        <v>23</v>
      </c>
      <c r="C49" s="43">
        <v>10</v>
      </c>
      <c r="D49" s="44">
        <f t="shared" si="317"/>
        <v>0.43478260869565216</v>
      </c>
      <c r="E49" s="43">
        <f t="shared" si="318"/>
        <v>13</v>
      </c>
      <c r="F49" s="102">
        <f t="shared" si="319"/>
        <v>0.56521739130434778</v>
      </c>
      <c r="G49" s="101">
        <v>18</v>
      </c>
      <c r="H49" s="43">
        <v>6</v>
      </c>
      <c r="I49" s="44">
        <f t="shared" si="320"/>
        <v>0.33333333333333331</v>
      </c>
      <c r="J49" s="43">
        <f t="shared" si="321"/>
        <v>12</v>
      </c>
      <c r="K49" s="102">
        <f t="shared" si="322"/>
        <v>0.66666666666666663</v>
      </c>
      <c r="L49" s="101">
        <v>19</v>
      </c>
      <c r="M49" s="43">
        <v>6</v>
      </c>
      <c r="N49" s="44">
        <f t="shared" si="323"/>
        <v>0.31578947368421051</v>
      </c>
      <c r="O49" s="43">
        <f t="shared" si="324"/>
        <v>13</v>
      </c>
      <c r="P49" s="102">
        <f t="shared" si="325"/>
        <v>0.68421052631578949</v>
      </c>
      <c r="Q49" s="101">
        <v>13</v>
      </c>
      <c r="R49" s="43">
        <v>6</v>
      </c>
      <c r="S49" s="44">
        <f t="shared" si="326"/>
        <v>0.46153846153846156</v>
      </c>
      <c r="T49" s="43">
        <f t="shared" si="327"/>
        <v>7</v>
      </c>
      <c r="U49" s="102">
        <f t="shared" si="328"/>
        <v>0.53846153846153844</v>
      </c>
      <c r="V49" s="101">
        <v>5</v>
      </c>
      <c r="W49" s="43">
        <v>0</v>
      </c>
      <c r="X49" s="44">
        <f t="shared" si="329"/>
        <v>0</v>
      </c>
      <c r="Y49" s="43">
        <f t="shared" si="330"/>
        <v>5</v>
      </c>
      <c r="Z49" s="102">
        <f t="shared" si="331"/>
        <v>1</v>
      </c>
      <c r="AA49" s="101">
        <v>10</v>
      </c>
      <c r="AB49" s="43">
        <v>1</v>
      </c>
      <c r="AC49" s="44">
        <f t="shared" si="332"/>
        <v>0.1</v>
      </c>
      <c r="AD49" s="43">
        <f t="shared" si="333"/>
        <v>9</v>
      </c>
      <c r="AE49" s="102">
        <f t="shared" si="334"/>
        <v>0.9</v>
      </c>
      <c r="AF49" s="101">
        <v>11</v>
      </c>
      <c r="AG49" s="43">
        <v>3</v>
      </c>
      <c r="AH49" s="44">
        <f t="shared" si="335"/>
        <v>0.27272727272727271</v>
      </c>
      <c r="AI49" s="43">
        <f t="shared" si="336"/>
        <v>8</v>
      </c>
      <c r="AJ49" s="102">
        <f t="shared" si="337"/>
        <v>0.72727272727272729</v>
      </c>
      <c r="AK49" s="101">
        <v>18</v>
      </c>
      <c r="AL49" s="43">
        <v>8</v>
      </c>
      <c r="AM49" s="44">
        <f t="shared" si="338"/>
        <v>0.44444444444444442</v>
      </c>
      <c r="AN49" s="43">
        <f t="shared" si="339"/>
        <v>10</v>
      </c>
      <c r="AO49" s="102">
        <f t="shared" si="340"/>
        <v>0.55555555555555558</v>
      </c>
      <c r="AP49" s="101">
        <v>15</v>
      </c>
      <c r="AQ49" s="43">
        <v>5</v>
      </c>
      <c r="AR49" s="44">
        <f t="shared" si="341"/>
        <v>0.33333333333333331</v>
      </c>
      <c r="AS49" s="43">
        <f t="shared" si="342"/>
        <v>10</v>
      </c>
      <c r="AT49" s="102">
        <f t="shared" si="343"/>
        <v>0.66666666666666663</v>
      </c>
      <c r="AU49" s="101">
        <v>8</v>
      </c>
      <c r="AV49" s="43">
        <v>1</v>
      </c>
      <c r="AW49" s="44">
        <f t="shared" si="344"/>
        <v>0.125</v>
      </c>
      <c r="AX49" s="43">
        <f t="shared" si="345"/>
        <v>7</v>
      </c>
      <c r="AY49" s="102">
        <f t="shared" si="346"/>
        <v>0.875</v>
      </c>
      <c r="AZ49" s="101">
        <v>7</v>
      </c>
      <c r="BA49" s="43">
        <v>1</v>
      </c>
      <c r="BB49" s="44">
        <f t="shared" si="347"/>
        <v>0.14285714285714285</v>
      </c>
      <c r="BC49" s="43">
        <f t="shared" si="348"/>
        <v>6</v>
      </c>
      <c r="BD49" s="102">
        <f t="shared" si="349"/>
        <v>0.8571428571428571</v>
      </c>
      <c r="BE49" s="101">
        <v>12</v>
      </c>
      <c r="BF49" s="43">
        <v>5</v>
      </c>
      <c r="BG49" s="44">
        <f t="shared" si="350"/>
        <v>0.41666666666666669</v>
      </c>
      <c r="BH49" s="43">
        <f t="shared" si="351"/>
        <v>7</v>
      </c>
      <c r="BI49" s="102">
        <f t="shared" si="352"/>
        <v>0.58333333333333337</v>
      </c>
      <c r="BJ49" s="101">
        <f t="shared" si="353"/>
        <v>159</v>
      </c>
      <c r="BK49" s="43">
        <f t="shared" si="354"/>
        <v>52</v>
      </c>
      <c r="BL49" s="44">
        <f t="shared" si="355"/>
        <v>0.32704402515723269</v>
      </c>
      <c r="BM49" s="43">
        <f t="shared" si="356"/>
        <v>107</v>
      </c>
      <c r="BN49" s="102">
        <f t="shared" si="357"/>
        <v>0.67295597484276726</v>
      </c>
    </row>
    <row r="50" spans="1:66" x14ac:dyDescent="0.3">
      <c r="A50" s="114" t="s">
        <v>86</v>
      </c>
      <c r="B50" s="105"/>
      <c r="C50" s="90">
        <v>8</v>
      </c>
      <c r="D50" s="63"/>
      <c r="E50" s="90"/>
      <c r="F50" s="106"/>
      <c r="G50" s="105"/>
      <c r="H50" s="90">
        <v>7</v>
      </c>
      <c r="I50" s="63"/>
      <c r="J50" s="90"/>
      <c r="K50" s="106"/>
      <c r="L50" s="105"/>
      <c r="M50" s="90">
        <v>10</v>
      </c>
      <c r="N50" s="63"/>
      <c r="O50" s="90"/>
      <c r="P50" s="106"/>
      <c r="Q50" s="105"/>
      <c r="R50" s="90"/>
      <c r="S50" s="63"/>
      <c r="T50" s="90"/>
      <c r="U50" s="106"/>
      <c r="V50" s="105"/>
      <c r="W50" s="90">
        <v>2</v>
      </c>
      <c r="X50" s="63"/>
      <c r="Y50" s="90"/>
      <c r="Z50" s="106"/>
      <c r="AA50" s="105"/>
      <c r="AB50" s="90">
        <v>3</v>
      </c>
      <c r="AC50" s="63"/>
      <c r="AD50" s="90"/>
      <c r="AE50" s="106"/>
      <c r="AF50" s="105"/>
      <c r="AG50" s="90">
        <v>7</v>
      </c>
      <c r="AH50" s="35"/>
      <c r="AI50" s="90"/>
      <c r="AJ50" s="106"/>
      <c r="AK50" s="105"/>
      <c r="AL50" s="90">
        <v>7</v>
      </c>
      <c r="AM50" s="35"/>
      <c r="AN50" s="90"/>
      <c r="AO50" s="106"/>
      <c r="AP50" s="105"/>
      <c r="AQ50" s="90">
        <v>7</v>
      </c>
      <c r="AR50" s="35"/>
      <c r="AS50" s="90"/>
      <c r="AT50" s="106"/>
      <c r="AU50" s="105"/>
      <c r="AV50" s="90">
        <v>4</v>
      </c>
      <c r="AW50" s="35"/>
      <c r="AX50" s="90"/>
      <c r="AY50" s="106"/>
      <c r="AZ50" s="105"/>
      <c r="BA50" s="90">
        <v>7</v>
      </c>
      <c r="BB50" s="35"/>
      <c r="BC50" s="90"/>
      <c r="BD50" s="106"/>
      <c r="BE50" s="105"/>
      <c r="BF50" s="90">
        <v>3</v>
      </c>
      <c r="BG50" s="35"/>
      <c r="BH50" s="90"/>
      <c r="BI50" s="106"/>
      <c r="BJ50" s="105"/>
      <c r="BK50" s="90">
        <f>C50+H50+M50+R50+W50+AB50+AG50+AL50+AQ50+AV50+BA50+BF50</f>
        <v>65</v>
      </c>
      <c r="BL50" s="35"/>
      <c r="BM50" s="90"/>
      <c r="BN50" s="106"/>
    </row>
    <row r="51" spans="1:66" ht="15" thickBot="1" x14ac:dyDescent="0.35">
      <c r="A51" s="115" t="s">
        <v>8</v>
      </c>
      <c r="B51" s="107">
        <f>SUM(B43:B49)</f>
        <v>163</v>
      </c>
      <c r="C51" s="108">
        <f>SUM(C43:C49)</f>
        <v>72</v>
      </c>
      <c r="D51" s="109">
        <f>C51/B51</f>
        <v>0.44171779141104295</v>
      </c>
      <c r="E51" s="108">
        <f>B51-C51</f>
        <v>91</v>
      </c>
      <c r="F51" s="110">
        <f>E51/B51</f>
        <v>0.55828220858895705</v>
      </c>
      <c r="G51" s="107">
        <f>SUM(G43:G49)</f>
        <v>159</v>
      </c>
      <c r="H51" s="108">
        <f>SUM(H43:H49)</f>
        <v>65</v>
      </c>
      <c r="I51" s="109">
        <f>H51/G51</f>
        <v>0.4088050314465409</v>
      </c>
      <c r="J51" s="108">
        <f>G51-H51</f>
        <v>94</v>
      </c>
      <c r="K51" s="110">
        <f>J51/G51</f>
        <v>0.5911949685534591</v>
      </c>
      <c r="L51" s="107">
        <f>SUM(L43:L49)</f>
        <v>192</v>
      </c>
      <c r="M51" s="108">
        <f>SUM(M43:M49)</f>
        <v>56</v>
      </c>
      <c r="N51" s="109">
        <f>M51/L51</f>
        <v>0.29166666666666669</v>
      </c>
      <c r="O51" s="108">
        <f>L51-M51</f>
        <v>136</v>
      </c>
      <c r="P51" s="110">
        <f>O51/L51</f>
        <v>0.70833333333333337</v>
      </c>
      <c r="Q51" s="107">
        <f>SUM(Q43:Q49)</f>
        <v>138</v>
      </c>
      <c r="R51" s="108">
        <f>SUM(R43:R50)</f>
        <v>41</v>
      </c>
      <c r="S51" s="109">
        <f>R51/Q51</f>
        <v>0.29710144927536231</v>
      </c>
      <c r="T51" s="108">
        <f>Q51-R51</f>
        <v>97</v>
      </c>
      <c r="U51" s="110">
        <f>T51/Q51</f>
        <v>0.70289855072463769</v>
      </c>
      <c r="V51" s="107">
        <f>SUM(V43:V49)</f>
        <v>52</v>
      </c>
      <c r="W51" s="108">
        <f>SUM(W43:W49)</f>
        <v>4</v>
      </c>
      <c r="X51" s="109">
        <f>W51/V51</f>
        <v>7.6923076923076927E-2</v>
      </c>
      <c r="Y51" s="108">
        <f>V51-W51</f>
        <v>48</v>
      </c>
      <c r="Z51" s="110">
        <f>Y51/V51</f>
        <v>0.92307692307692313</v>
      </c>
      <c r="AA51" s="107">
        <f>SUM(AA43:AA49)</f>
        <v>66</v>
      </c>
      <c r="AB51" s="108">
        <f>SUM(AB43:AB49)</f>
        <v>13</v>
      </c>
      <c r="AC51" s="109">
        <f>AB51/AA51</f>
        <v>0.19696969696969696</v>
      </c>
      <c r="AD51" s="108">
        <f>AA51-AB51</f>
        <v>53</v>
      </c>
      <c r="AE51" s="110">
        <f>AD51/AA51</f>
        <v>0.80303030303030298</v>
      </c>
      <c r="AF51" s="107">
        <f>SUM(AF43:AF49)</f>
        <v>134</v>
      </c>
      <c r="AG51" s="108">
        <f>SUM(AG43:AG49)</f>
        <v>43</v>
      </c>
      <c r="AH51" s="109">
        <f>AG51/AF51</f>
        <v>0.32089552238805968</v>
      </c>
      <c r="AI51" s="108">
        <f>AF51-AG51</f>
        <v>91</v>
      </c>
      <c r="AJ51" s="110">
        <f>AI51/AF51</f>
        <v>0.67910447761194026</v>
      </c>
      <c r="AK51" s="107">
        <f>SUM(AK43:AK49)</f>
        <v>183</v>
      </c>
      <c r="AL51" s="108">
        <f>SUM(AL43:AL49)</f>
        <v>58</v>
      </c>
      <c r="AM51" s="109">
        <f>AL51/AK51</f>
        <v>0.31693989071038253</v>
      </c>
      <c r="AN51" s="108">
        <f>AK51-AL51</f>
        <v>125</v>
      </c>
      <c r="AO51" s="110">
        <f>AN51/AK51</f>
        <v>0.68306010928961747</v>
      </c>
      <c r="AP51" s="107">
        <f>SUM(AP43:AP49)</f>
        <v>154</v>
      </c>
      <c r="AQ51" s="108">
        <f>SUM(AQ43:AQ49)</f>
        <v>49</v>
      </c>
      <c r="AR51" s="109">
        <f>AQ51/AP51</f>
        <v>0.31818181818181818</v>
      </c>
      <c r="AS51" s="108">
        <f>AP51-AQ51</f>
        <v>105</v>
      </c>
      <c r="AT51" s="110">
        <f>AS51/AP51</f>
        <v>0.68181818181818177</v>
      </c>
      <c r="AU51" s="107">
        <f>SUM(AU43:AU49)</f>
        <v>96</v>
      </c>
      <c r="AV51" s="108">
        <f>SUM(AV43:AV49)</f>
        <v>28</v>
      </c>
      <c r="AW51" s="109">
        <f>AV51/AU51</f>
        <v>0.29166666666666669</v>
      </c>
      <c r="AX51" s="108">
        <f>AU51-AV51</f>
        <v>68</v>
      </c>
      <c r="AY51" s="110">
        <f>AX51/AU51</f>
        <v>0.70833333333333337</v>
      </c>
      <c r="AZ51" s="107">
        <f>SUM(AZ43:AZ49)</f>
        <v>103</v>
      </c>
      <c r="BA51" s="108">
        <f>SUM(BA43:BA49)</f>
        <v>29</v>
      </c>
      <c r="BB51" s="109">
        <f>BA51/AZ51</f>
        <v>0.28155339805825241</v>
      </c>
      <c r="BC51" s="108">
        <f>AZ51-BA51</f>
        <v>74</v>
      </c>
      <c r="BD51" s="110">
        <f>BC51/AZ51</f>
        <v>0.71844660194174759</v>
      </c>
      <c r="BE51" s="107">
        <f>SUM(BE43:BE49)</f>
        <v>103</v>
      </c>
      <c r="BF51" s="108">
        <f>SUM(BF43:BF49)</f>
        <v>46</v>
      </c>
      <c r="BG51" s="109">
        <f>BF51/BE51</f>
        <v>0.44660194174757284</v>
      </c>
      <c r="BH51" s="108">
        <f>BE51-BF51</f>
        <v>57</v>
      </c>
      <c r="BI51" s="110">
        <f>BH51/BE51</f>
        <v>0.55339805825242716</v>
      </c>
      <c r="BJ51" s="107">
        <f>SUM(BJ43:BJ49)</f>
        <v>1543</v>
      </c>
      <c r="BK51" s="108">
        <f>SUM(BK43:BK49)</f>
        <v>504</v>
      </c>
      <c r="BL51" s="109">
        <f>BK51/BJ51</f>
        <v>0.32663642255346725</v>
      </c>
      <c r="BM51" s="108">
        <f>BJ51-BK51</f>
        <v>1039</v>
      </c>
      <c r="BN51" s="110">
        <f>BM51/BJ51</f>
        <v>0.67336357744653275</v>
      </c>
    </row>
    <row r="52" spans="1:66" ht="15" thickBot="1" x14ac:dyDescent="0.35"/>
    <row r="53" spans="1:66" ht="15" thickBot="1" x14ac:dyDescent="0.35">
      <c r="A53" s="153" t="s">
        <v>107</v>
      </c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  <c r="BN53" s="154"/>
    </row>
    <row r="54" spans="1:66" x14ac:dyDescent="0.3">
      <c r="A54" s="116"/>
      <c r="B54" s="155" t="s">
        <v>29</v>
      </c>
      <c r="C54" s="156"/>
      <c r="D54" s="156"/>
      <c r="E54" s="156"/>
      <c r="F54" s="157"/>
      <c r="G54" s="155" t="s">
        <v>17</v>
      </c>
      <c r="H54" s="156"/>
      <c r="I54" s="156"/>
      <c r="J54" s="156"/>
      <c r="K54" s="157"/>
      <c r="L54" s="155" t="s">
        <v>30</v>
      </c>
      <c r="M54" s="156"/>
      <c r="N54" s="156"/>
      <c r="O54" s="156"/>
      <c r="P54" s="157"/>
      <c r="Q54" s="155" t="s">
        <v>14</v>
      </c>
      <c r="R54" s="156"/>
      <c r="S54" s="156"/>
      <c r="T54" s="156"/>
      <c r="U54" s="157"/>
      <c r="V54" s="155" t="s">
        <v>20</v>
      </c>
      <c r="W54" s="156"/>
      <c r="X54" s="156"/>
      <c r="Y54" s="156"/>
      <c r="Z54" s="157"/>
      <c r="AA54" s="155" t="s">
        <v>21</v>
      </c>
      <c r="AB54" s="156"/>
      <c r="AC54" s="156"/>
      <c r="AD54" s="156"/>
      <c r="AE54" s="157"/>
      <c r="AF54" s="155" t="s">
        <v>31</v>
      </c>
      <c r="AG54" s="156"/>
      <c r="AH54" s="156"/>
      <c r="AI54" s="156"/>
      <c r="AJ54" s="157"/>
      <c r="AK54" s="155" t="s">
        <v>32</v>
      </c>
      <c r="AL54" s="156"/>
      <c r="AM54" s="156"/>
      <c r="AN54" s="156"/>
      <c r="AO54" s="157"/>
      <c r="AP54" s="155" t="s">
        <v>33</v>
      </c>
      <c r="AQ54" s="156"/>
      <c r="AR54" s="156"/>
      <c r="AS54" s="156"/>
      <c r="AT54" s="157"/>
      <c r="AU54" s="155" t="s">
        <v>34</v>
      </c>
      <c r="AV54" s="156"/>
      <c r="AW54" s="156"/>
      <c r="AX54" s="156"/>
      <c r="AY54" s="157"/>
      <c r="AZ54" s="155" t="s">
        <v>35</v>
      </c>
      <c r="BA54" s="156"/>
      <c r="BB54" s="156"/>
      <c r="BC54" s="156"/>
      <c r="BD54" s="157"/>
      <c r="BE54" s="155" t="s">
        <v>36</v>
      </c>
      <c r="BF54" s="156"/>
      <c r="BG54" s="156"/>
      <c r="BH54" s="156"/>
      <c r="BI54" s="157"/>
      <c r="BJ54" s="155">
        <v>2020</v>
      </c>
      <c r="BK54" s="156"/>
      <c r="BL54" s="156"/>
      <c r="BM54" s="156"/>
      <c r="BN54" s="157"/>
    </row>
    <row r="55" spans="1:66" x14ac:dyDescent="0.3">
      <c r="A55" s="111" t="s">
        <v>28</v>
      </c>
      <c r="B55" s="99" t="s">
        <v>8</v>
      </c>
      <c r="C55" s="33" t="s">
        <v>27</v>
      </c>
      <c r="D55" s="33" t="s">
        <v>22</v>
      </c>
      <c r="E55" s="33" t="s">
        <v>25</v>
      </c>
      <c r="F55" s="100" t="s">
        <v>22</v>
      </c>
      <c r="G55" s="99" t="s">
        <v>8</v>
      </c>
      <c r="H55" s="33" t="s">
        <v>27</v>
      </c>
      <c r="I55" s="33" t="s">
        <v>22</v>
      </c>
      <c r="J55" s="33" t="s">
        <v>25</v>
      </c>
      <c r="K55" s="100" t="s">
        <v>22</v>
      </c>
      <c r="L55" s="99" t="s">
        <v>8</v>
      </c>
      <c r="M55" s="33" t="s">
        <v>27</v>
      </c>
      <c r="N55" s="33" t="s">
        <v>22</v>
      </c>
      <c r="O55" s="33" t="s">
        <v>25</v>
      </c>
      <c r="P55" s="100" t="s">
        <v>22</v>
      </c>
      <c r="Q55" s="99" t="s">
        <v>8</v>
      </c>
      <c r="R55" s="33" t="s">
        <v>27</v>
      </c>
      <c r="S55" s="33" t="s">
        <v>22</v>
      </c>
      <c r="T55" s="33" t="s">
        <v>25</v>
      </c>
      <c r="U55" s="100" t="s">
        <v>22</v>
      </c>
      <c r="V55" s="99" t="s">
        <v>8</v>
      </c>
      <c r="W55" s="33" t="s">
        <v>27</v>
      </c>
      <c r="X55" s="33" t="s">
        <v>22</v>
      </c>
      <c r="Y55" s="33" t="s">
        <v>25</v>
      </c>
      <c r="Z55" s="100" t="s">
        <v>22</v>
      </c>
      <c r="AA55" s="99" t="s">
        <v>8</v>
      </c>
      <c r="AB55" s="33" t="s">
        <v>27</v>
      </c>
      <c r="AC55" s="33" t="s">
        <v>22</v>
      </c>
      <c r="AD55" s="33" t="s">
        <v>25</v>
      </c>
      <c r="AE55" s="100" t="s">
        <v>22</v>
      </c>
      <c r="AF55" s="99" t="s">
        <v>8</v>
      </c>
      <c r="AG55" s="33" t="s">
        <v>27</v>
      </c>
      <c r="AH55" s="33" t="s">
        <v>22</v>
      </c>
      <c r="AI55" s="33" t="s">
        <v>25</v>
      </c>
      <c r="AJ55" s="100" t="s">
        <v>22</v>
      </c>
      <c r="AK55" s="99" t="s">
        <v>8</v>
      </c>
      <c r="AL55" s="33" t="s">
        <v>27</v>
      </c>
      <c r="AM55" s="33" t="s">
        <v>22</v>
      </c>
      <c r="AN55" s="33" t="s">
        <v>25</v>
      </c>
      <c r="AO55" s="100" t="s">
        <v>22</v>
      </c>
      <c r="AP55" s="99" t="s">
        <v>8</v>
      </c>
      <c r="AQ55" s="33" t="s">
        <v>27</v>
      </c>
      <c r="AR55" s="33" t="s">
        <v>22</v>
      </c>
      <c r="AS55" s="33" t="s">
        <v>25</v>
      </c>
      <c r="AT55" s="100" t="s">
        <v>22</v>
      </c>
      <c r="AU55" s="99" t="s">
        <v>8</v>
      </c>
      <c r="AV55" s="33" t="s">
        <v>27</v>
      </c>
      <c r="AW55" s="33" t="s">
        <v>22</v>
      </c>
      <c r="AX55" s="33" t="s">
        <v>25</v>
      </c>
      <c r="AY55" s="100" t="s">
        <v>22</v>
      </c>
      <c r="AZ55" s="99" t="s">
        <v>8</v>
      </c>
      <c r="BA55" s="33" t="s">
        <v>27</v>
      </c>
      <c r="BB55" s="33" t="s">
        <v>22</v>
      </c>
      <c r="BC55" s="33" t="s">
        <v>25</v>
      </c>
      <c r="BD55" s="100" t="s">
        <v>22</v>
      </c>
      <c r="BE55" s="99" t="s">
        <v>8</v>
      </c>
      <c r="BF55" s="33" t="s">
        <v>27</v>
      </c>
      <c r="BG55" s="33" t="s">
        <v>22</v>
      </c>
      <c r="BH55" s="33" t="s">
        <v>25</v>
      </c>
      <c r="BI55" s="100" t="s">
        <v>22</v>
      </c>
      <c r="BJ55" s="99" t="s">
        <v>8</v>
      </c>
      <c r="BK55" s="33" t="s">
        <v>27</v>
      </c>
      <c r="BL55" s="33" t="s">
        <v>22</v>
      </c>
      <c r="BM55" s="33" t="s">
        <v>25</v>
      </c>
      <c r="BN55" s="100" t="s">
        <v>22</v>
      </c>
    </row>
    <row r="56" spans="1:66" x14ac:dyDescent="0.3">
      <c r="A56" s="112" t="s">
        <v>12</v>
      </c>
      <c r="B56" s="101">
        <v>18</v>
      </c>
      <c r="C56" s="43">
        <v>6</v>
      </c>
      <c r="D56" s="44">
        <f t="shared" ref="D56:D62" si="358">C56/B56</f>
        <v>0.33333333333333331</v>
      </c>
      <c r="E56" s="43">
        <f t="shared" ref="E56:E62" si="359">B56-C56</f>
        <v>12</v>
      </c>
      <c r="F56" s="102">
        <f t="shared" ref="F56:F62" si="360">E56/B56</f>
        <v>0.66666666666666663</v>
      </c>
      <c r="G56" s="101">
        <v>23</v>
      </c>
      <c r="H56" s="43">
        <v>7</v>
      </c>
      <c r="I56" s="44">
        <f t="shared" ref="I56:I62" si="361">H56/G56</f>
        <v>0.30434782608695654</v>
      </c>
      <c r="J56" s="43">
        <f t="shared" ref="J56:J62" si="362">G56-H56</f>
        <v>16</v>
      </c>
      <c r="K56" s="102">
        <f t="shared" ref="K56:K62" si="363">J56/G56</f>
        <v>0.69565217391304346</v>
      </c>
      <c r="L56" s="101">
        <v>15</v>
      </c>
      <c r="M56" s="43">
        <v>4</v>
      </c>
      <c r="N56" s="44">
        <f t="shared" ref="N56:N62" si="364">M56/L56</f>
        <v>0.26666666666666666</v>
      </c>
      <c r="O56" s="43">
        <f t="shared" ref="O56:O62" si="365">L56-M56</f>
        <v>11</v>
      </c>
      <c r="P56" s="102">
        <f t="shared" ref="P56:P62" si="366">O56/L56</f>
        <v>0.73333333333333328</v>
      </c>
      <c r="Q56" s="101">
        <v>23</v>
      </c>
      <c r="R56" s="43">
        <v>4</v>
      </c>
      <c r="S56" s="44">
        <f t="shared" ref="S56:S62" si="367">R56/Q56</f>
        <v>0.17391304347826086</v>
      </c>
      <c r="T56" s="43">
        <f t="shared" ref="T56:T62" si="368">Q56-R56</f>
        <v>19</v>
      </c>
      <c r="U56" s="102">
        <f t="shared" ref="U56:U62" si="369">T56/Q56</f>
        <v>0.82608695652173914</v>
      </c>
      <c r="V56" s="101">
        <v>22</v>
      </c>
      <c r="W56" s="43">
        <v>6</v>
      </c>
      <c r="X56" s="44">
        <f t="shared" ref="X56:X62" si="370">W56/V56</f>
        <v>0.27272727272727271</v>
      </c>
      <c r="Y56" s="43">
        <f t="shared" ref="Y56:Y62" si="371">V56-W56</f>
        <v>16</v>
      </c>
      <c r="Z56" s="102">
        <f t="shared" ref="Z56:Z62" si="372">Y56/V56</f>
        <v>0.72727272727272729</v>
      </c>
      <c r="AA56" s="101">
        <v>21</v>
      </c>
      <c r="AB56" s="43">
        <v>5</v>
      </c>
      <c r="AC56" s="44">
        <f t="shared" ref="AC56:AC62" si="373">AB56/AA56</f>
        <v>0.23809523809523808</v>
      </c>
      <c r="AD56" s="43">
        <f t="shared" ref="AD56:AD62" si="374">AA56-AB56</f>
        <v>16</v>
      </c>
      <c r="AE56" s="102">
        <f t="shared" ref="AE56:AE62" si="375">AD56/AA56</f>
        <v>0.76190476190476186</v>
      </c>
      <c r="AF56" s="101">
        <v>22</v>
      </c>
      <c r="AG56" s="43">
        <v>7</v>
      </c>
      <c r="AH56" s="44">
        <f t="shared" ref="AH56:AH62" si="376">AG56/AF56</f>
        <v>0.31818181818181818</v>
      </c>
      <c r="AI56" s="43">
        <f t="shared" ref="AI56:AI62" si="377">AF56-AG56</f>
        <v>15</v>
      </c>
      <c r="AJ56" s="102">
        <f t="shared" ref="AJ56:AJ62" si="378">AI56/AF56</f>
        <v>0.68181818181818177</v>
      </c>
      <c r="AK56" s="101">
        <v>32</v>
      </c>
      <c r="AL56" s="43">
        <v>11</v>
      </c>
      <c r="AM56" s="44">
        <f t="shared" ref="AM56:AM62" si="379">AL56/AK56</f>
        <v>0.34375</v>
      </c>
      <c r="AN56" s="43">
        <f t="shared" ref="AN56:AN62" si="380">AK56-AL56</f>
        <v>21</v>
      </c>
      <c r="AO56" s="102">
        <f t="shared" ref="AO56:AO62" si="381">AN56/AK56</f>
        <v>0.65625</v>
      </c>
      <c r="AP56" s="101">
        <v>28</v>
      </c>
      <c r="AQ56" s="43">
        <v>1</v>
      </c>
      <c r="AR56" s="44">
        <f t="shared" ref="AR56:AR62" si="382">AQ56/AP56</f>
        <v>3.5714285714285712E-2</v>
      </c>
      <c r="AS56" s="43">
        <f t="shared" ref="AS56:AS62" si="383">AP56-AQ56</f>
        <v>27</v>
      </c>
      <c r="AT56" s="102">
        <f t="shared" ref="AT56:AT62" si="384">AS56/AP56</f>
        <v>0.9642857142857143</v>
      </c>
      <c r="AU56" s="101">
        <v>19</v>
      </c>
      <c r="AV56" s="43">
        <v>10</v>
      </c>
      <c r="AW56" s="44">
        <f t="shared" ref="AW56:AW62" si="385">AV56/AU56</f>
        <v>0.52631578947368418</v>
      </c>
      <c r="AX56" s="43">
        <f t="shared" ref="AX56:AX62" si="386">AU56-AV56</f>
        <v>9</v>
      </c>
      <c r="AY56" s="102">
        <f t="shared" ref="AY56:AY62" si="387">AX56/AU56</f>
        <v>0.47368421052631576</v>
      </c>
      <c r="AZ56" s="101">
        <v>19</v>
      </c>
      <c r="BA56" s="43">
        <v>9</v>
      </c>
      <c r="BB56" s="44">
        <f t="shared" ref="BB56:BB62" si="388">BA56/AZ56</f>
        <v>0.47368421052631576</v>
      </c>
      <c r="BC56" s="43">
        <f t="shared" ref="BC56:BC62" si="389">AZ56-BA56</f>
        <v>10</v>
      </c>
      <c r="BD56" s="102">
        <f t="shared" ref="BD56:BD62" si="390">BC56/AZ56</f>
        <v>0.52631578947368418</v>
      </c>
      <c r="BE56" s="101">
        <v>27</v>
      </c>
      <c r="BF56" s="43">
        <v>11</v>
      </c>
      <c r="BG56" s="44">
        <f t="shared" ref="BG56:BG62" si="391">BF56/BE56</f>
        <v>0.40740740740740738</v>
      </c>
      <c r="BH56" s="43">
        <f t="shared" ref="BH56:BH62" si="392">BE56-BF56</f>
        <v>16</v>
      </c>
      <c r="BI56" s="102">
        <f t="shared" ref="BI56:BI62" si="393">BH56/BE56</f>
        <v>0.59259259259259256</v>
      </c>
      <c r="BJ56" s="101">
        <f t="shared" ref="BJ56:BJ62" si="394">B56+G56+L56+Q56+V56+AA56+AF56+AK56+AP56+AU56+AZ56+BE56</f>
        <v>269</v>
      </c>
      <c r="BK56" s="43">
        <f t="shared" ref="BK56:BK62" si="395">C56+H56+M56+R56+W56+AB56+AG56+AL56+AQ56+AV56+BA56+BF56</f>
        <v>81</v>
      </c>
      <c r="BL56" s="44">
        <f t="shared" ref="BL56:BL62" si="396">BK56/BJ56</f>
        <v>0.30111524163568776</v>
      </c>
      <c r="BM56" s="43">
        <f t="shared" ref="BM56:BM62" si="397">BJ56-BK56</f>
        <v>188</v>
      </c>
      <c r="BN56" s="102">
        <f t="shared" ref="BN56:BN62" si="398">BM56/BJ56</f>
        <v>0.6988847583643123</v>
      </c>
    </row>
    <row r="57" spans="1:66" x14ac:dyDescent="0.3">
      <c r="A57" s="112" t="s">
        <v>16</v>
      </c>
      <c r="B57" s="101">
        <v>8</v>
      </c>
      <c r="C57" s="43">
        <v>0</v>
      </c>
      <c r="D57" s="44">
        <f t="shared" si="358"/>
        <v>0</v>
      </c>
      <c r="E57" s="43">
        <f t="shared" si="359"/>
        <v>8</v>
      </c>
      <c r="F57" s="102">
        <f t="shared" si="360"/>
        <v>1</v>
      </c>
      <c r="G57" s="101">
        <v>15</v>
      </c>
      <c r="H57" s="43">
        <v>3</v>
      </c>
      <c r="I57" s="44">
        <f t="shared" si="361"/>
        <v>0.2</v>
      </c>
      <c r="J57" s="43">
        <f t="shared" si="362"/>
        <v>12</v>
      </c>
      <c r="K57" s="102">
        <f t="shared" si="363"/>
        <v>0.8</v>
      </c>
      <c r="L57" s="101">
        <v>10</v>
      </c>
      <c r="M57" s="43">
        <v>1</v>
      </c>
      <c r="N57" s="44">
        <f t="shared" si="364"/>
        <v>0.1</v>
      </c>
      <c r="O57" s="43">
        <f t="shared" si="365"/>
        <v>9</v>
      </c>
      <c r="P57" s="102">
        <f t="shared" si="366"/>
        <v>0.9</v>
      </c>
      <c r="Q57" s="101">
        <v>12</v>
      </c>
      <c r="R57" s="43">
        <v>2</v>
      </c>
      <c r="S57" s="44">
        <f t="shared" si="367"/>
        <v>0.16666666666666666</v>
      </c>
      <c r="T57" s="43">
        <f t="shared" si="368"/>
        <v>10</v>
      </c>
      <c r="U57" s="102">
        <f t="shared" si="369"/>
        <v>0.83333333333333337</v>
      </c>
      <c r="V57" s="101">
        <v>13</v>
      </c>
      <c r="W57" s="43">
        <v>5</v>
      </c>
      <c r="X57" s="44">
        <f t="shared" si="370"/>
        <v>0.38461538461538464</v>
      </c>
      <c r="Y57" s="43">
        <f t="shared" si="371"/>
        <v>8</v>
      </c>
      <c r="Z57" s="102">
        <f t="shared" si="372"/>
        <v>0.61538461538461542</v>
      </c>
      <c r="AA57" s="101">
        <v>18</v>
      </c>
      <c r="AB57" s="43">
        <v>1</v>
      </c>
      <c r="AC57" s="44">
        <f t="shared" si="373"/>
        <v>5.5555555555555552E-2</v>
      </c>
      <c r="AD57" s="43">
        <f t="shared" si="374"/>
        <v>17</v>
      </c>
      <c r="AE57" s="102">
        <f t="shared" si="375"/>
        <v>0.94444444444444442</v>
      </c>
      <c r="AF57" s="101">
        <v>17</v>
      </c>
      <c r="AG57" s="43">
        <v>3</v>
      </c>
      <c r="AH57" s="44">
        <f t="shared" si="376"/>
        <v>0.17647058823529413</v>
      </c>
      <c r="AI57" s="43">
        <f t="shared" si="377"/>
        <v>14</v>
      </c>
      <c r="AJ57" s="102">
        <f t="shared" si="378"/>
        <v>0.82352941176470584</v>
      </c>
      <c r="AK57" s="101">
        <v>23</v>
      </c>
      <c r="AL57" s="43">
        <v>5</v>
      </c>
      <c r="AM57" s="44">
        <f t="shared" si="379"/>
        <v>0.21739130434782608</v>
      </c>
      <c r="AN57" s="43">
        <f t="shared" si="380"/>
        <v>18</v>
      </c>
      <c r="AO57" s="102">
        <f t="shared" si="381"/>
        <v>0.78260869565217395</v>
      </c>
      <c r="AP57" s="101">
        <v>14</v>
      </c>
      <c r="AQ57" s="43">
        <v>2</v>
      </c>
      <c r="AR57" s="44">
        <f t="shared" si="382"/>
        <v>0.14285714285714285</v>
      </c>
      <c r="AS57" s="43">
        <f t="shared" si="383"/>
        <v>12</v>
      </c>
      <c r="AT57" s="102">
        <f t="shared" si="384"/>
        <v>0.8571428571428571</v>
      </c>
      <c r="AU57" s="101">
        <v>13</v>
      </c>
      <c r="AV57" s="43">
        <v>3</v>
      </c>
      <c r="AW57" s="44">
        <f t="shared" si="385"/>
        <v>0.23076923076923078</v>
      </c>
      <c r="AX57" s="43">
        <f t="shared" si="386"/>
        <v>10</v>
      </c>
      <c r="AY57" s="102">
        <f t="shared" si="387"/>
        <v>0.76923076923076927</v>
      </c>
      <c r="AZ57" s="101">
        <v>13</v>
      </c>
      <c r="BA57" s="43">
        <v>4</v>
      </c>
      <c r="BB57" s="44">
        <f t="shared" si="388"/>
        <v>0.30769230769230771</v>
      </c>
      <c r="BC57" s="43">
        <f t="shared" si="389"/>
        <v>9</v>
      </c>
      <c r="BD57" s="102">
        <f t="shared" si="390"/>
        <v>0.69230769230769229</v>
      </c>
      <c r="BE57" s="101">
        <v>16</v>
      </c>
      <c r="BF57" s="43">
        <v>3</v>
      </c>
      <c r="BG57" s="44">
        <f t="shared" si="391"/>
        <v>0.1875</v>
      </c>
      <c r="BH57" s="43">
        <f t="shared" si="392"/>
        <v>13</v>
      </c>
      <c r="BI57" s="102">
        <f t="shared" si="393"/>
        <v>0.8125</v>
      </c>
      <c r="BJ57" s="101">
        <f t="shared" si="394"/>
        <v>172</v>
      </c>
      <c r="BK57" s="43">
        <f t="shared" si="395"/>
        <v>32</v>
      </c>
      <c r="BL57" s="44">
        <f t="shared" si="396"/>
        <v>0.18604651162790697</v>
      </c>
      <c r="BM57" s="43">
        <f t="shared" si="397"/>
        <v>140</v>
      </c>
      <c r="BN57" s="102">
        <f t="shared" si="398"/>
        <v>0.81395348837209303</v>
      </c>
    </row>
    <row r="58" spans="1:66" x14ac:dyDescent="0.3">
      <c r="A58" s="112" t="s">
        <v>19</v>
      </c>
      <c r="B58" s="101">
        <v>7</v>
      </c>
      <c r="C58" s="43">
        <v>3</v>
      </c>
      <c r="D58" s="44">
        <f t="shared" si="358"/>
        <v>0.42857142857142855</v>
      </c>
      <c r="E58" s="43">
        <f t="shared" si="359"/>
        <v>4</v>
      </c>
      <c r="F58" s="102">
        <f t="shared" si="360"/>
        <v>0.5714285714285714</v>
      </c>
      <c r="G58" s="101">
        <v>10</v>
      </c>
      <c r="H58" s="43">
        <v>4</v>
      </c>
      <c r="I58" s="44">
        <f t="shared" si="361"/>
        <v>0.4</v>
      </c>
      <c r="J58" s="43">
        <f t="shared" si="362"/>
        <v>6</v>
      </c>
      <c r="K58" s="102">
        <f t="shared" si="363"/>
        <v>0.6</v>
      </c>
      <c r="L58" s="101">
        <v>10</v>
      </c>
      <c r="M58" s="43">
        <v>5</v>
      </c>
      <c r="N58" s="44">
        <f t="shared" si="364"/>
        <v>0.5</v>
      </c>
      <c r="O58" s="43">
        <f t="shared" si="365"/>
        <v>5</v>
      </c>
      <c r="P58" s="102">
        <f t="shared" si="366"/>
        <v>0.5</v>
      </c>
      <c r="Q58" s="101">
        <v>6</v>
      </c>
      <c r="R58" s="43">
        <v>3</v>
      </c>
      <c r="S58" s="44">
        <f t="shared" si="367"/>
        <v>0.5</v>
      </c>
      <c r="T58" s="43">
        <f t="shared" si="368"/>
        <v>3</v>
      </c>
      <c r="U58" s="102">
        <f t="shared" si="369"/>
        <v>0.5</v>
      </c>
      <c r="V58" s="101">
        <v>14</v>
      </c>
      <c r="W58" s="43">
        <v>4</v>
      </c>
      <c r="X58" s="44">
        <f t="shared" si="370"/>
        <v>0.2857142857142857</v>
      </c>
      <c r="Y58" s="43">
        <f t="shared" si="371"/>
        <v>10</v>
      </c>
      <c r="Z58" s="102">
        <f t="shared" si="372"/>
        <v>0.7142857142857143</v>
      </c>
      <c r="AA58" s="101">
        <v>10</v>
      </c>
      <c r="AB58" s="43">
        <v>3</v>
      </c>
      <c r="AC58" s="44">
        <f t="shared" si="373"/>
        <v>0.3</v>
      </c>
      <c r="AD58" s="43">
        <f t="shared" si="374"/>
        <v>7</v>
      </c>
      <c r="AE58" s="102">
        <f t="shared" si="375"/>
        <v>0.7</v>
      </c>
      <c r="AF58" s="101">
        <v>9</v>
      </c>
      <c r="AG58" s="43">
        <v>1</v>
      </c>
      <c r="AH58" s="44">
        <f t="shared" si="376"/>
        <v>0.1111111111111111</v>
      </c>
      <c r="AI58" s="43">
        <f t="shared" si="377"/>
        <v>8</v>
      </c>
      <c r="AJ58" s="102">
        <f t="shared" si="378"/>
        <v>0.88888888888888884</v>
      </c>
      <c r="AK58" s="101">
        <v>11</v>
      </c>
      <c r="AL58" s="43">
        <v>4</v>
      </c>
      <c r="AM58" s="44">
        <f t="shared" si="379"/>
        <v>0.36363636363636365</v>
      </c>
      <c r="AN58" s="43">
        <f t="shared" si="380"/>
        <v>7</v>
      </c>
      <c r="AO58" s="102">
        <f t="shared" si="381"/>
        <v>0.63636363636363635</v>
      </c>
      <c r="AP58" s="101">
        <v>14</v>
      </c>
      <c r="AQ58" s="43">
        <v>5</v>
      </c>
      <c r="AR58" s="44">
        <f t="shared" si="382"/>
        <v>0.35714285714285715</v>
      </c>
      <c r="AS58" s="43">
        <f t="shared" si="383"/>
        <v>9</v>
      </c>
      <c r="AT58" s="102">
        <f t="shared" si="384"/>
        <v>0.6428571428571429</v>
      </c>
      <c r="AU58" s="101">
        <v>7</v>
      </c>
      <c r="AV58" s="43">
        <v>3</v>
      </c>
      <c r="AW58" s="44">
        <f t="shared" si="385"/>
        <v>0.42857142857142855</v>
      </c>
      <c r="AX58" s="43">
        <f t="shared" si="386"/>
        <v>4</v>
      </c>
      <c r="AY58" s="102">
        <f t="shared" si="387"/>
        <v>0.5714285714285714</v>
      </c>
      <c r="AZ58" s="101">
        <v>13</v>
      </c>
      <c r="BA58" s="43">
        <v>4</v>
      </c>
      <c r="BB58" s="44">
        <f t="shared" si="388"/>
        <v>0.30769230769230771</v>
      </c>
      <c r="BC58" s="43">
        <f t="shared" si="389"/>
        <v>9</v>
      </c>
      <c r="BD58" s="102">
        <f t="shared" si="390"/>
        <v>0.69230769230769229</v>
      </c>
      <c r="BE58" s="101">
        <v>13</v>
      </c>
      <c r="BF58" s="43">
        <v>5</v>
      </c>
      <c r="BG58" s="44">
        <f t="shared" si="391"/>
        <v>0.38461538461538464</v>
      </c>
      <c r="BH58" s="43">
        <f t="shared" si="392"/>
        <v>8</v>
      </c>
      <c r="BI58" s="102">
        <f t="shared" si="393"/>
        <v>0.61538461538461542</v>
      </c>
      <c r="BJ58" s="101">
        <f t="shared" si="394"/>
        <v>124</v>
      </c>
      <c r="BK58" s="43">
        <f t="shared" si="395"/>
        <v>44</v>
      </c>
      <c r="BL58" s="44">
        <f t="shared" si="396"/>
        <v>0.35483870967741937</v>
      </c>
      <c r="BM58" s="43">
        <f t="shared" si="397"/>
        <v>80</v>
      </c>
      <c r="BN58" s="102">
        <f t="shared" si="398"/>
        <v>0.64516129032258063</v>
      </c>
    </row>
    <row r="59" spans="1:66" x14ac:dyDescent="0.3">
      <c r="A59" s="113" t="s">
        <v>18</v>
      </c>
      <c r="B59" s="103">
        <v>10</v>
      </c>
      <c r="C59" s="34">
        <v>2</v>
      </c>
      <c r="D59" s="35">
        <f t="shared" si="358"/>
        <v>0.2</v>
      </c>
      <c r="E59" s="34">
        <f t="shared" si="359"/>
        <v>8</v>
      </c>
      <c r="F59" s="104">
        <f t="shared" si="360"/>
        <v>0.8</v>
      </c>
      <c r="G59" s="103">
        <v>15</v>
      </c>
      <c r="H59" s="34">
        <v>2</v>
      </c>
      <c r="I59" s="35">
        <f t="shared" si="361"/>
        <v>0.13333333333333333</v>
      </c>
      <c r="J59" s="34">
        <f t="shared" si="362"/>
        <v>13</v>
      </c>
      <c r="K59" s="104">
        <f t="shared" si="363"/>
        <v>0.8666666666666667</v>
      </c>
      <c r="L59" s="103">
        <v>13</v>
      </c>
      <c r="M59" s="34">
        <v>1</v>
      </c>
      <c r="N59" s="35">
        <f t="shared" si="364"/>
        <v>7.6923076923076927E-2</v>
      </c>
      <c r="O59" s="34">
        <f t="shared" si="365"/>
        <v>12</v>
      </c>
      <c r="P59" s="104">
        <f t="shared" si="366"/>
        <v>0.92307692307692313</v>
      </c>
      <c r="Q59" s="103">
        <v>11</v>
      </c>
      <c r="R59" s="34">
        <v>0</v>
      </c>
      <c r="S59" s="35">
        <f t="shared" si="367"/>
        <v>0</v>
      </c>
      <c r="T59" s="34">
        <f t="shared" si="368"/>
        <v>11</v>
      </c>
      <c r="U59" s="104">
        <f t="shared" si="369"/>
        <v>1</v>
      </c>
      <c r="V59" s="103">
        <v>9</v>
      </c>
      <c r="W59" s="34">
        <v>0</v>
      </c>
      <c r="X59" s="35">
        <f t="shared" si="370"/>
        <v>0</v>
      </c>
      <c r="Y59" s="34">
        <f t="shared" si="371"/>
        <v>9</v>
      </c>
      <c r="Z59" s="104">
        <f t="shared" si="372"/>
        <v>1</v>
      </c>
      <c r="AA59" s="103">
        <v>10</v>
      </c>
      <c r="AB59" s="34">
        <v>3</v>
      </c>
      <c r="AC59" s="35">
        <f t="shared" si="373"/>
        <v>0.3</v>
      </c>
      <c r="AD59" s="34">
        <f t="shared" si="374"/>
        <v>7</v>
      </c>
      <c r="AE59" s="104">
        <f t="shared" si="375"/>
        <v>0.7</v>
      </c>
      <c r="AF59" s="105">
        <v>12</v>
      </c>
      <c r="AG59" s="90">
        <v>1</v>
      </c>
      <c r="AH59" s="35">
        <f t="shared" si="376"/>
        <v>8.3333333333333329E-2</v>
      </c>
      <c r="AI59" s="34">
        <f t="shared" si="377"/>
        <v>11</v>
      </c>
      <c r="AJ59" s="104">
        <f t="shared" si="378"/>
        <v>0.91666666666666663</v>
      </c>
      <c r="AK59" s="105">
        <v>18</v>
      </c>
      <c r="AL59" s="90">
        <v>1</v>
      </c>
      <c r="AM59" s="35">
        <f t="shared" si="379"/>
        <v>5.5555555555555552E-2</v>
      </c>
      <c r="AN59" s="34">
        <f t="shared" si="380"/>
        <v>17</v>
      </c>
      <c r="AO59" s="104">
        <f t="shared" si="381"/>
        <v>0.94444444444444442</v>
      </c>
      <c r="AP59" s="105">
        <v>16</v>
      </c>
      <c r="AQ59" s="90">
        <v>3</v>
      </c>
      <c r="AR59" s="35">
        <f t="shared" si="382"/>
        <v>0.1875</v>
      </c>
      <c r="AS59" s="34">
        <f t="shared" si="383"/>
        <v>13</v>
      </c>
      <c r="AT59" s="104">
        <f t="shared" si="384"/>
        <v>0.8125</v>
      </c>
      <c r="AU59" s="105">
        <v>11</v>
      </c>
      <c r="AV59" s="90">
        <v>1</v>
      </c>
      <c r="AW59" s="35">
        <f t="shared" si="385"/>
        <v>9.0909090909090912E-2</v>
      </c>
      <c r="AX59" s="34">
        <f t="shared" si="386"/>
        <v>10</v>
      </c>
      <c r="AY59" s="104">
        <f t="shared" si="387"/>
        <v>0.90909090909090906</v>
      </c>
      <c r="AZ59" s="105">
        <v>13</v>
      </c>
      <c r="BA59" s="90">
        <v>2</v>
      </c>
      <c r="BB59" s="35">
        <f t="shared" si="388"/>
        <v>0.15384615384615385</v>
      </c>
      <c r="BC59" s="34">
        <f t="shared" si="389"/>
        <v>11</v>
      </c>
      <c r="BD59" s="104">
        <f t="shared" si="390"/>
        <v>0.84615384615384615</v>
      </c>
      <c r="BE59" s="105">
        <v>20</v>
      </c>
      <c r="BF59" s="90">
        <v>1</v>
      </c>
      <c r="BG59" s="35">
        <f t="shared" si="391"/>
        <v>0.05</v>
      </c>
      <c r="BH59" s="34">
        <f t="shared" si="392"/>
        <v>19</v>
      </c>
      <c r="BI59" s="104">
        <f t="shared" si="393"/>
        <v>0.95</v>
      </c>
      <c r="BJ59" s="105">
        <f t="shared" si="394"/>
        <v>158</v>
      </c>
      <c r="BK59" s="90">
        <f t="shared" si="395"/>
        <v>17</v>
      </c>
      <c r="BL59" s="35">
        <f t="shared" si="396"/>
        <v>0.10759493670886076</v>
      </c>
      <c r="BM59" s="34">
        <f t="shared" si="397"/>
        <v>141</v>
      </c>
      <c r="BN59" s="104">
        <f t="shared" si="398"/>
        <v>0.89240506329113922</v>
      </c>
    </row>
    <row r="60" spans="1:66" x14ac:dyDescent="0.3">
      <c r="A60" s="113" t="s">
        <v>23</v>
      </c>
      <c r="B60" s="103">
        <v>23</v>
      </c>
      <c r="C60" s="34">
        <v>7</v>
      </c>
      <c r="D60" s="35">
        <f t="shared" si="358"/>
        <v>0.30434782608695654</v>
      </c>
      <c r="E60" s="34">
        <f t="shared" si="359"/>
        <v>16</v>
      </c>
      <c r="F60" s="104">
        <f t="shared" si="360"/>
        <v>0.69565217391304346</v>
      </c>
      <c r="G60" s="103">
        <v>28</v>
      </c>
      <c r="H60" s="34">
        <v>5</v>
      </c>
      <c r="I60" s="35">
        <f t="shared" si="361"/>
        <v>0.17857142857142858</v>
      </c>
      <c r="J60" s="34">
        <f t="shared" si="362"/>
        <v>23</v>
      </c>
      <c r="K60" s="104">
        <f t="shared" si="363"/>
        <v>0.8214285714285714</v>
      </c>
      <c r="L60" s="103">
        <v>25</v>
      </c>
      <c r="M60" s="34">
        <v>6</v>
      </c>
      <c r="N60" s="35">
        <f t="shared" si="364"/>
        <v>0.24</v>
      </c>
      <c r="O60" s="34">
        <f t="shared" si="365"/>
        <v>19</v>
      </c>
      <c r="P60" s="104">
        <f t="shared" si="366"/>
        <v>0.76</v>
      </c>
      <c r="Q60" s="103">
        <v>20</v>
      </c>
      <c r="R60" s="34">
        <v>2</v>
      </c>
      <c r="S60" s="35">
        <f t="shared" si="367"/>
        <v>0.1</v>
      </c>
      <c r="T60" s="34">
        <f t="shared" si="368"/>
        <v>18</v>
      </c>
      <c r="U60" s="104">
        <f t="shared" si="369"/>
        <v>0.9</v>
      </c>
      <c r="V60" s="103">
        <v>18</v>
      </c>
      <c r="W60" s="34">
        <v>3</v>
      </c>
      <c r="X60" s="35">
        <f t="shared" si="370"/>
        <v>0.16666666666666666</v>
      </c>
      <c r="Y60" s="34">
        <f t="shared" si="371"/>
        <v>15</v>
      </c>
      <c r="Z60" s="104">
        <f t="shared" si="372"/>
        <v>0.83333333333333337</v>
      </c>
      <c r="AA60" s="103">
        <v>22</v>
      </c>
      <c r="AB60" s="34">
        <v>6</v>
      </c>
      <c r="AC60" s="35">
        <f t="shared" si="373"/>
        <v>0.27272727272727271</v>
      </c>
      <c r="AD60" s="34">
        <f t="shared" si="374"/>
        <v>16</v>
      </c>
      <c r="AE60" s="104">
        <f t="shared" si="375"/>
        <v>0.72727272727272729</v>
      </c>
      <c r="AF60" s="105">
        <v>30</v>
      </c>
      <c r="AG60" s="90">
        <v>2</v>
      </c>
      <c r="AH60" s="35">
        <f t="shared" si="376"/>
        <v>6.6666666666666666E-2</v>
      </c>
      <c r="AI60" s="34">
        <f t="shared" si="377"/>
        <v>28</v>
      </c>
      <c r="AJ60" s="104">
        <f t="shared" si="378"/>
        <v>0.93333333333333335</v>
      </c>
      <c r="AK60" s="105">
        <v>36</v>
      </c>
      <c r="AL60" s="90">
        <v>8</v>
      </c>
      <c r="AM60" s="35">
        <f t="shared" si="379"/>
        <v>0.22222222222222221</v>
      </c>
      <c r="AN60" s="34">
        <f t="shared" si="380"/>
        <v>28</v>
      </c>
      <c r="AO60" s="104">
        <f t="shared" si="381"/>
        <v>0.77777777777777779</v>
      </c>
      <c r="AP60" s="105">
        <v>22</v>
      </c>
      <c r="AQ60" s="90">
        <v>5</v>
      </c>
      <c r="AR60" s="35">
        <f t="shared" si="382"/>
        <v>0.22727272727272727</v>
      </c>
      <c r="AS60" s="34">
        <f t="shared" si="383"/>
        <v>17</v>
      </c>
      <c r="AT60" s="104">
        <f t="shared" si="384"/>
        <v>0.77272727272727271</v>
      </c>
      <c r="AU60" s="105">
        <v>27</v>
      </c>
      <c r="AV60" s="90">
        <v>4</v>
      </c>
      <c r="AW60" s="35">
        <f t="shared" si="385"/>
        <v>0.14814814814814814</v>
      </c>
      <c r="AX60" s="34">
        <f t="shared" si="386"/>
        <v>23</v>
      </c>
      <c r="AY60" s="104">
        <f t="shared" si="387"/>
        <v>0.85185185185185186</v>
      </c>
      <c r="AZ60" s="105">
        <v>16</v>
      </c>
      <c r="BA60" s="90">
        <v>3</v>
      </c>
      <c r="BB60" s="35">
        <f t="shared" si="388"/>
        <v>0.1875</v>
      </c>
      <c r="BC60" s="34">
        <f t="shared" si="389"/>
        <v>13</v>
      </c>
      <c r="BD60" s="104">
        <f t="shared" si="390"/>
        <v>0.8125</v>
      </c>
      <c r="BE60" s="105">
        <v>25</v>
      </c>
      <c r="BF60" s="90">
        <v>3</v>
      </c>
      <c r="BG60" s="35">
        <f t="shared" si="391"/>
        <v>0.12</v>
      </c>
      <c r="BH60" s="34">
        <f t="shared" si="392"/>
        <v>22</v>
      </c>
      <c r="BI60" s="104">
        <f t="shared" si="393"/>
        <v>0.88</v>
      </c>
      <c r="BJ60" s="105">
        <f t="shared" si="394"/>
        <v>292</v>
      </c>
      <c r="BK60" s="90">
        <f t="shared" si="395"/>
        <v>54</v>
      </c>
      <c r="BL60" s="35">
        <f t="shared" si="396"/>
        <v>0.18493150684931506</v>
      </c>
      <c r="BM60" s="34">
        <f t="shared" si="397"/>
        <v>238</v>
      </c>
      <c r="BN60" s="104">
        <f t="shared" si="398"/>
        <v>0.81506849315068497</v>
      </c>
    </row>
    <row r="61" spans="1:66" x14ac:dyDescent="0.3">
      <c r="A61" s="112" t="s">
        <v>24</v>
      </c>
      <c r="B61" s="101">
        <v>22</v>
      </c>
      <c r="C61" s="43">
        <v>9</v>
      </c>
      <c r="D61" s="44">
        <f t="shared" si="358"/>
        <v>0.40909090909090912</v>
      </c>
      <c r="E61" s="43">
        <f t="shared" si="359"/>
        <v>13</v>
      </c>
      <c r="F61" s="102">
        <f t="shared" si="360"/>
        <v>0.59090909090909094</v>
      </c>
      <c r="G61" s="101">
        <v>26</v>
      </c>
      <c r="H61" s="43">
        <v>17</v>
      </c>
      <c r="I61" s="44">
        <f t="shared" si="361"/>
        <v>0.65384615384615385</v>
      </c>
      <c r="J61" s="43">
        <f t="shared" si="362"/>
        <v>9</v>
      </c>
      <c r="K61" s="102">
        <f t="shared" si="363"/>
        <v>0.34615384615384615</v>
      </c>
      <c r="L61" s="101">
        <v>21</v>
      </c>
      <c r="M61" s="43">
        <v>9</v>
      </c>
      <c r="N61" s="44">
        <f t="shared" si="364"/>
        <v>0.42857142857142855</v>
      </c>
      <c r="O61" s="43">
        <f t="shared" si="365"/>
        <v>12</v>
      </c>
      <c r="P61" s="102">
        <f t="shared" si="366"/>
        <v>0.5714285714285714</v>
      </c>
      <c r="Q61" s="101">
        <v>18</v>
      </c>
      <c r="R61" s="43">
        <v>8</v>
      </c>
      <c r="S61" s="44">
        <f t="shared" si="367"/>
        <v>0.44444444444444442</v>
      </c>
      <c r="T61" s="43">
        <f t="shared" si="368"/>
        <v>10</v>
      </c>
      <c r="U61" s="102">
        <f t="shared" si="369"/>
        <v>0.55555555555555558</v>
      </c>
      <c r="V61" s="101">
        <v>18</v>
      </c>
      <c r="W61" s="43">
        <v>7</v>
      </c>
      <c r="X61" s="44">
        <f t="shared" si="370"/>
        <v>0.3888888888888889</v>
      </c>
      <c r="Y61" s="43">
        <f t="shared" si="371"/>
        <v>11</v>
      </c>
      <c r="Z61" s="102">
        <f t="shared" si="372"/>
        <v>0.61111111111111116</v>
      </c>
      <c r="AA61" s="101">
        <v>15</v>
      </c>
      <c r="AB61" s="43">
        <v>4</v>
      </c>
      <c r="AC61" s="44">
        <f t="shared" si="373"/>
        <v>0.26666666666666666</v>
      </c>
      <c r="AD61" s="43">
        <f t="shared" si="374"/>
        <v>11</v>
      </c>
      <c r="AE61" s="102">
        <f t="shared" si="375"/>
        <v>0.73333333333333328</v>
      </c>
      <c r="AF61" s="101">
        <v>18</v>
      </c>
      <c r="AG61" s="43">
        <v>6</v>
      </c>
      <c r="AH61" s="44">
        <f t="shared" si="376"/>
        <v>0.33333333333333331</v>
      </c>
      <c r="AI61" s="43">
        <f t="shared" si="377"/>
        <v>12</v>
      </c>
      <c r="AJ61" s="102">
        <f t="shared" si="378"/>
        <v>0.66666666666666663</v>
      </c>
      <c r="AK61" s="101">
        <v>36</v>
      </c>
      <c r="AL61" s="43">
        <v>17</v>
      </c>
      <c r="AM61" s="44">
        <f t="shared" si="379"/>
        <v>0.47222222222222221</v>
      </c>
      <c r="AN61" s="43">
        <f t="shared" si="380"/>
        <v>19</v>
      </c>
      <c r="AO61" s="102">
        <f t="shared" si="381"/>
        <v>0.52777777777777779</v>
      </c>
      <c r="AP61" s="101">
        <v>21</v>
      </c>
      <c r="AQ61" s="43">
        <v>8</v>
      </c>
      <c r="AR61" s="44">
        <f t="shared" si="382"/>
        <v>0.38095238095238093</v>
      </c>
      <c r="AS61" s="43">
        <f t="shared" si="383"/>
        <v>13</v>
      </c>
      <c r="AT61" s="102">
        <f t="shared" si="384"/>
        <v>0.61904761904761907</v>
      </c>
      <c r="AU61" s="101">
        <v>23</v>
      </c>
      <c r="AV61" s="43">
        <v>9</v>
      </c>
      <c r="AW61" s="44">
        <f t="shared" si="385"/>
        <v>0.39130434782608697</v>
      </c>
      <c r="AX61" s="43">
        <f t="shared" si="386"/>
        <v>14</v>
      </c>
      <c r="AY61" s="102">
        <f t="shared" si="387"/>
        <v>0.60869565217391308</v>
      </c>
      <c r="AZ61" s="101">
        <v>36</v>
      </c>
      <c r="BA61" s="43">
        <v>10</v>
      </c>
      <c r="BB61" s="44">
        <f t="shared" si="388"/>
        <v>0.27777777777777779</v>
      </c>
      <c r="BC61" s="43">
        <f t="shared" si="389"/>
        <v>26</v>
      </c>
      <c r="BD61" s="102">
        <f t="shared" si="390"/>
        <v>0.72222222222222221</v>
      </c>
      <c r="BE61" s="101">
        <v>25</v>
      </c>
      <c r="BF61" s="43">
        <v>2</v>
      </c>
      <c r="BG61" s="44">
        <f t="shared" si="391"/>
        <v>0.08</v>
      </c>
      <c r="BH61" s="43">
        <f t="shared" si="392"/>
        <v>23</v>
      </c>
      <c r="BI61" s="102">
        <f t="shared" si="393"/>
        <v>0.92</v>
      </c>
      <c r="BJ61" s="101">
        <f t="shared" si="394"/>
        <v>279</v>
      </c>
      <c r="BK61" s="43">
        <f t="shared" si="395"/>
        <v>106</v>
      </c>
      <c r="BL61" s="44">
        <f t="shared" si="396"/>
        <v>0.37992831541218636</v>
      </c>
      <c r="BM61" s="43">
        <f t="shared" si="397"/>
        <v>173</v>
      </c>
      <c r="BN61" s="102">
        <f t="shared" si="398"/>
        <v>0.62007168458781359</v>
      </c>
    </row>
    <row r="62" spans="1:66" x14ac:dyDescent="0.3">
      <c r="A62" s="112" t="s">
        <v>15</v>
      </c>
      <c r="B62" s="101">
        <v>10</v>
      </c>
      <c r="C62" s="43">
        <v>5</v>
      </c>
      <c r="D62" s="44">
        <f t="shared" si="358"/>
        <v>0.5</v>
      </c>
      <c r="E62" s="43">
        <f t="shared" si="359"/>
        <v>5</v>
      </c>
      <c r="F62" s="102">
        <f t="shared" si="360"/>
        <v>0.5</v>
      </c>
      <c r="G62" s="101">
        <v>13</v>
      </c>
      <c r="H62" s="43">
        <v>1</v>
      </c>
      <c r="I62" s="44">
        <f t="shared" si="361"/>
        <v>7.6923076923076927E-2</v>
      </c>
      <c r="J62" s="43">
        <f t="shared" si="362"/>
        <v>12</v>
      </c>
      <c r="K62" s="102">
        <f t="shared" si="363"/>
        <v>0.92307692307692313</v>
      </c>
      <c r="L62" s="101">
        <v>6</v>
      </c>
      <c r="M62" s="43">
        <v>1</v>
      </c>
      <c r="N62" s="44">
        <f t="shared" si="364"/>
        <v>0.16666666666666666</v>
      </c>
      <c r="O62" s="43">
        <f t="shared" si="365"/>
        <v>5</v>
      </c>
      <c r="P62" s="102">
        <f t="shared" si="366"/>
        <v>0.83333333333333337</v>
      </c>
      <c r="Q62" s="101">
        <v>11</v>
      </c>
      <c r="R62" s="43">
        <v>3</v>
      </c>
      <c r="S62" s="44">
        <f t="shared" si="367"/>
        <v>0.27272727272727271</v>
      </c>
      <c r="T62" s="43">
        <f t="shared" si="368"/>
        <v>8</v>
      </c>
      <c r="U62" s="102">
        <f t="shared" si="369"/>
        <v>0.72727272727272729</v>
      </c>
      <c r="V62" s="101">
        <v>9</v>
      </c>
      <c r="W62" s="43">
        <v>1</v>
      </c>
      <c r="X62" s="44">
        <f t="shared" si="370"/>
        <v>0.1111111111111111</v>
      </c>
      <c r="Y62" s="43">
        <f t="shared" si="371"/>
        <v>8</v>
      </c>
      <c r="Z62" s="102">
        <f t="shared" si="372"/>
        <v>0.88888888888888884</v>
      </c>
      <c r="AA62" s="101">
        <v>5</v>
      </c>
      <c r="AB62" s="43">
        <v>1</v>
      </c>
      <c r="AC62" s="44">
        <f t="shared" si="373"/>
        <v>0.2</v>
      </c>
      <c r="AD62" s="43">
        <f t="shared" si="374"/>
        <v>4</v>
      </c>
      <c r="AE62" s="102">
        <f t="shared" si="375"/>
        <v>0.8</v>
      </c>
      <c r="AF62" s="101">
        <v>20</v>
      </c>
      <c r="AG62" s="43">
        <v>1</v>
      </c>
      <c r="AH62" s="44">
        <f t="shared" si="376"/>
        <v>0.05</v>
      </c>
      <c r="AI62" s="43">
        <f t="shared" si="377"/>
        <v>19</v>
      </c>
      <c r="AJ62" s="102">
        <f t="shared" si="378"/>
        <v>0.95</v>
      </c>
      <c r="AK62" s="101">
        <v>13</v>
      </c>
      <c r="AL62" s="43">
        <v>10</v>
      </c>
      <c r="AM62" s="44">
        <f t="shared" si="379"/>
        <v>0.76923076923076927</v>
      </c>
      <c r="AN62" s="43">
        <f t="shared" si="380"/>
        <v>3</v>
      </c>
      <c r="AO62" s="102">
        <f t="shared" si="381"/>
        <v>0.23076923076923078</v>
      </c>
      <c r="AP62" s="101">
        <v>14</v>
      </c>
      <c r="AQ62" s="43">
        <v>3</v>
      </c>
      <c r="AR62" s="44">
        <f t="shared" si="382"/>
        <v>0.21428571428571427</v>
      </c>
      <c r="AS62" s="43">
        <f t="shared" si="383"/>
        <v>11</v>
      </c>
      <c r="AT62" s="102">
        <f t="shared" si="384"/>
        <v>0.7857142857142857</v>
      </c>
      <c r="AU62" s="101">
        <v>9</v>
      </c>
      <c r="AV62" s="43">
        <v>5</v>
      </c>
      <c r="AW62" s="44">
        <f t="shared" si="385"/>
        <v>0.55555555555555558</v>
      </c>
      <c r="AX62" s="43">
        <f t="shared" si="386"/>
        <v>4</v>
      </c>
      <c r="AY62" s="102">
        <f t="shared" si="387"/>
        <v>0.44444444444444442</v>
      </c>
      <c r="AZ62" s="101">
        <v>11</v>
      </c>
      <c r="BA62" s="43">
        <v>2</v>
      </c>
      <c r="BB62" s="44">
        <f t="shared" si="388"/>
        <v>0.18181818181818182</v>
      </c>
      <c r="BC62" s="43">
        <f t="shared" si="389"/>
        <v>9</v>
      </c>
      <c r="BD62" s="102">
        <f t="shared" si="390"/>
        <v>0.81818181818181823</v>
      </c>
      <c r="BE62" s="101">
        <v>8</v>
      </c>
      <c r="BF62" s="43">
        <v>5</v>
      </c>
      <c r="BG62" s="44">
        <f t="shared" si="391"/>
        <v>0.625</v>
      </c>
      <c r="BH62" s="43">
        <f t="shared" si="392"/>
        <v>3</v>
      </c>
      <c r="BI62" s="102">
        <f t="shared" si="393"/>
        <v>0.375</v>
      </c>
      <c r="BJ62" s="101">
        <f t="shared" si="394"/>
        <v>129</v>
      </c>
      <c r="BK62" s="43">
        <f t="shared" si="395"/>
        <v>38</v>
      </c>
      <c r="BL62" s="44">
        <f t="shared" si="396"/>
        <v>0.29457364341085274</v>
      </c>
      <c r="BM62" s="43">
        <f t="shared" si="397"/>
        <v>91</v>
      </c>
      <c r="BN62" s="102">
        <f t="shared" si="398"/>
        <v>0.70542635658914732</v>
      </c>
    </row>
    <row r="63" spans="1:66" x14ac:dyDescent="0.3">
      <c r="A63" s="114" t="s">
        <v>86</v>
      </c>
      <c r="B63" s="105"/>
      <c r="C63" s="90">
        <v>7</v>
      </c>
      <c r="D63" s="63"/>
      <c r="E63" s="90"/>
      <c r="F63" s="106"/>
      <c r="G63" s="105"/>
      <c r="H63" s="90">
        <v>5</v>
      </c>
      <c r="I63" s="63"/>
      <c r="J63" s="90"/>
      <c r="K63" s="106"/>
      <c r="L63" s="105"/>
      <c r="M63" s="90">
        <v>1</v>
      </c>
      <c r="N63" s="63"/>
      <c r="O63" s="90"/>
      <c r="P63" s="106"/>
      <c r="Q63" s="105"/>
      <c r="R63" s="90">
        <v>8</v>
      </c>
      <c r="S63" s="63"/>
      <c r="T63" s="90"/>
      <c r="U63" s="106"/>
      <c r="V63" s="105"/>
      <c r="W63" s="90">
        <v>4</v>
      </c>
      <c r="X63" s="63"/>
      <c r="Y63" s="90"/>
      <c r="Z63" s="106"/>
      <c r="AA63" s="105"/>
      <c r="AB63" s="90">
        <v>4</v>
      </c>
      <c r="AC63" s="63"/>
      <c r="AD63" s="90"/>
      <c r="AE63" s="106"/>
      <c r="AF63" s="105"/>
      <c r="AG63" s="90">
        <v>1</v>
      </c>
      <c r="AH63" s="35"/>
      <c r="AI63" s="90"/>
      <c r="AJ63" s="106"/>
      <c r="AK63" s="105"/>
      <c r="AL63" s="90">
        <v>6</v>
      </c>
      <c r="AM63" s="35"/>
      <c r="AN63" s="90"/>
      <c r="AO63" s="106"/>
      <c r="AP63" s="105"/>
      <c r="AQ63" s="90"/>
      <c r="AR63" s="35"/>
      <c r="AS63" s="90"/>
      <c r="AT63" s="106"/>
      <c r="AU63" s="105"/>
      <c r="AV63" s="90"/>
      <c r="AW63" s="35"/>
      <c r="AX63" s="90"/>
      <c r="AY63" s="106"/>
      <c r="AZ63" s="105"/>
      <c r="BA63" s="90">
        <v>2</v>
      </c>
      <c r="BB63" s="35"/>
      <c r="BC63" s="90"/>
      <c r="BD63" s="106"/>
      <c r="BE63" s="105"/>
      <c r="BF63" s="90">
        <v>5</v>
      </c>
      <c r="BG63" s="35"/>
      <c r="BH63" s="90"/>
      <c r="BI63" s="106"/>
      <c r="BJ63" s="105"/>
      <c r="BK63" s="90">
        <f>C63+H63+M63+R63+W63+AB63+AG63+AL63+AQ63+AV63+BA63+BF63</f>
        <v>43</v>
      </c>
      <c r="BL63" s="35"/>
      <c r="BM63" s="90"/>
      <c r="BN63" s="106"/>
    </row>
    <row r="64" spans="1:66" ht="15" thickBot="1" x14ac:dyDescent="0.35">
      <c r="A64" s="115" t="s">
        <v>8</v>
      </c>
      <c r="B64" s="107">
        <f>SUM(B56:B62)</f>
        <v>98</v>
      </c>
      <c r="C64" s="108">
        <f>SUM(C56:C62)</f>
        <v>32</v>
      </c>
      <c r="D64" s="109">
        <f>C64/B64</f>
        <v>0.32653061224489793</v>
      </c>
      <c r="E64" s="108">
        <f>B64-C64</f>
        <v>66</v>
      </c>
      <c r="F64" s="110">
        <f>E64/B64</f>
        <v>0.67346938775510201</v>
      </c>
      <c r="G64" s="107">
        <f>SUM(G56:G62)</f>
        <v>130</v>
      </c>
      <c r="H64" s="108">
        <f>SUM(H56:H62)</f>
        <v>39</v>
      </c>
      <c r="I64" s="109">
        <f>H64/G64</f>
        <v>0.3</v>
      </c>
      <c r="J64" s="108">
        <f>G64-H64</f>
        <v>91</v>
      </c>
      <c r="K64" s="110">
        <f>J64/G64</f>
        <v>0.7</v>
      </c>
      <c r="L64" s="107">
        <f>SUM(L56:L62)</f>
        <v>100</v>
      </c>
      <c r="M64" s="108">
        <f>SUM(M56:M62)</f>
        <v>27</v>
      </c>
      <c r="N64" s="109">
        <f>M64/L64</f>
        <v>0.27</v>
      </c>
      <c r="O64" s="108">
        <f>L64-M64</f>
        <v>73</v>
      </c>
      <c r="P64" s="110">
        <f>O64/L64</f>
        <v>0.73</v>
      </c>
      <c r="Q64" s="107">
        <f>SUM(Q56:Q62)</f>
        <v>101</v>
      </c>
      <c r="R64" s="108">
        <f>SUM(R56:R62)</f>
        <v>22</v>
      </c>
      <c r="S64" s="109">
        <f>R64/Q64</f>
        <v>0.21782178217821782</v>
      </c>
      <c r="T64" s="108">
        <f>Q64-R64</f>
        <v>79</v>
      </c>
      <c r="U64" s="110">
        <f>T64/Q64</f>
        <v>0.78217821782178221</v>
      </c>
      <c r="V64" s="107">
        <f>SUM(V56:V62)</f>
        <v>103</v>
      </c>
      <c r="W64" s="108">
        <f>SUM(W56:W62)</f>
        <v>26</v>
      </c>
      <c r="X64" s="109">
        <f>W64/V64</f>
        <v>0.25242718446601942</v>
      </c>
      <c r="Y64" s="108">
        <f>V64-W64</f>
        <v>77</v>
      </c>
      <c r="Z64" s="110">
        <f>Y64/V64</f>
        <v>0.74757281553398058</v>
      </c>
      <c r="AA64" s="107">
        <f>SUM(AA56:AA62)</f>
        <v>101</v>
      </c>
      <c r="AB64" s="108">
        <f>SUM(AB56:AB62)</f>
        <v>23</v>
      </c>
      <c r="AC64" s="109">
        <f>AB64/AA64</f>
        <v>0.22772277227722773</v>
      </c>
      <c r="AD64" s="108">
        <f>AA64-AB64</f>
        <v>78</v>
      </c>
      <c r="AE64" s="110">
        <f>AD64/AA64</f>
        <v>0.7722772277227723</v>
      </c>
      <c r="AF64" s="107">
        <f>SUM(AF56:AF62)</f>
        <v>128</v>
      </c>
      <c r="AG64" s="108">
        <f>SUM(AG56:AG62)</f>
        <v>21</v>
      </c>
      <c r="AH64" s="109">
        <f>AG64/AF64</f>
        <v>0.1640625</v>
      </c>
      <c r="AI64" s="108">
        <f>AF64-AG64</f>
        <v>107</v>
      </c>
      <c r="AJ64" s="110">
        <f>AI64/AF64</f>
        <v>0.8359375</v>
      </c>
      <c r="AK64" s="107">
        <f>SUM(AK56:AK62)</f>
        <v>169</v>
      </c>
      <c r="AL64" s="108">
        <f>SUM(AL56:AL62)</f>
        <v>56</v>
      </c>
      <c r="AM64" s="109">
        <f>AL64/AK64</f>
        <v>0.33136094674556216</v>
      </c>
      <c r="AN64" s="108">
        <f>AK64-AL64</f>
        <v>113</v>
      </c>
      <c r="AO64" s="110">
        <f>AN64/AK64</f>
        <v>0.66863905325443784</v>
      </c>
      <c r="AP64" s="107">
        <f>SUM(AP56:AP62)</f>
        <v>129</v>
      </c>
      <c r="AQ64" s="108">
        <f>SUM(AQ56:AQ62)</f>
        <v>27</v>
      </c>
      <c r="AR64" s="109">
        <f>AQ64/AP64</f>
        <v>0.20930232558139536</v>
      </c>
      <c r="AS64" s="108">
        <f>AP64-AQ64</f>
        <v>102</v>
      </c>
      <c r="AT64" s="110">
        <f>AS64/AP64</f>
        <v>0.79069767441860461</v>
      </c>
      <c r="AU64" s="107">
        <f>SUM(AU56:AU62)</f>
        <v>109</v>
      </c>
      <c r="AV64" s="108">
        <f>SUM(AV56:AV62)</f>
        <v>35</v>
      </c>
      <c r="AW64" s="109">
        <f>AV64/AU64</f>
        <v>0.32110091743119268</v>
      </c>
      <c r="AX64" s="108">
        <f>AU64-AV64</f>
        <v>74</v>
      </c>
      <c r="AY64" s="110">
        <f>AX64/AU64</f>
        <v>0.67889908256880738</v>
      </c>
      <c r="AZ64" s="107">
        <f>SUM(AZ56:AZ62)</f>
        <v>121</v>
      </c>
      <c r="BA64" s="108">
        <f>SUM(BA56:BA62)</f>
        <v>34</v>
      </c>
      <c r="BB64" s="109">
        <f>BA64/AZ64</f>
        <v>0.28099173553719009</v>
      </c>
      <c r="BC64" s="108">
        <f>AZ64-BA64</f>
        <v>87</v>
      </c>
      <c r="BD64" s="110">
        <f>BC64/AZ64</f>
        <v>0.71900826446280997</v>
      </c>
      <c r="BE64" s="107">
        <f>SUM(BE56:BE62)</f>
        <v>134</v>
      </c>
      <c r="BF64" s="108">
        <f>SUM(BF56:BF62)</f>
        <v>30</v>
      </c>
      <c r="BG64" s="109">
        <f>BF64/BE64</f>
        <v>0.22388059701492538</v>
      </c>
      <c r="BH64" s="108">
        <f>BE64-BF64</f>
        <v>104</v>
      </c>
      <c r="BI64" s="110">
        <f>BH64/BE64</f>
        <v>0.77611940298507465</v>
      </c>
      <c r="BJ64" s="107">
        <f>SUM(BJ56:BJ62)</f>
        <v>1423</v>
      </c>
      <c r="BK64" s="108">
        <f>SUM(BK56:BK62)</f>
        <v>372</v>
      </c>
      <c r="BL64" s="109">
        <f>BK64/BJ64</f>
        <v>0.26141953619114544</v>
      </c>
      <c r="BM64" s="108">
        <f>BJ64-BK64</f>
        <v>1051</v>
      </c>
      <c r="BN64" s="110">
        <f>BM64/BJ64</f>
        <v>0.73858046380885456</v>
      </c>
    </row>
  </sheetData>
  <mergeCells count="70">
    <mergeCell ref="A53:BN53"/>
    <mergeCell ref="B54:F54"/>
    <mergeCell ref="G54:K54"/>
    <mergeCell ref="L54:P54"/>
    <mergeCell ref="Q54:U54"/>
    <mergeCell ref="V54:Z54"/>
    <mergeCell ref="AA54:AE54"/>
    <mergeCell ref="AF54:AJ54"/>
    <mergeCell ref="AK54:AO54"/>
    <mergeCell ref="AP54:AT54"/>
    <mergeCell ref="AU54:AY54"/>
    <mergeCell ref="AZ54:BD54"/>
    <mergeCell ref="BE54:BI54"/>
    <mergeCell ref="BJ54:BN54"/>
    <mergeCell ref="A40:BN40"/>
    <mergeCell ref="B41:F41"/>
    <mergeCell ref="G41:K41"/>
    <mergeCell ref="L41:P41"/>
    <mergeCell ref="Q41:U41"/>
    <mergeCell ref="V41:Z41"/>
    <mergeCell ref="AA41:AE41"/>
    <mergeCell ref="AF41:AJ41"/>
    <mergeCell ref="AK41:AO41"/>
    <mergeCell ref="AP41:AT41"/>
    <mergeCell ref="AU41:AY41"/>
    <mergeCell ref="AZ41:BD41"/>
    <mergeCell ref="BE41:BI41"/>
    <mergeCell ref="BJ41:BN41"/>
    <mergeCell ref="AU15:AY15"/>
    <mergeCell ref="AZ15:BD15"/>
    <mergeCell ref="BE15:BI15"/>
    <mergeCell ref="A14:BN14"/>
    <mergeCell ref="B15:F15"/>
    <mergeCell ref="G15:K15"/>
    <mergeCell ref="L15:P15"/>
    <mergeCell ref="Q15:U15"/>
    <mergeCell ref="V15:Z15"/>
    <mergeCell ref="BJ15:BN15"/>
    <mergeCell ref="AP15:AT15"/>
    <mergeCell ref="AK15:AO15"/>
    <mergeCell ref="AA15:AE15"/>
    <mergeCell ref="AF15:AJ15"/>
    <mergeCell ref="A27:BN27"/>
    <mergeCell ref="B28:F28"/>
    <mergeCell ref="G28:K28"/>
    <mergeCell ref="L28:P28"/>
    <mergeCell ref="Q28:U28"/>
    <mergeCell ref="V28:Z28"/>
    <mergeCell ref="AA28:AE28"/>
    <mergeCell ref="AF28:AJ28"/>
    <mergeCell ref="AK28:AO28"/>
    <mergeCell ref="AP28:AT28"/>
    <mergeCell ref="AU28:AY28"/>
    <mergeCell ref="AZ28:BD28"/>
    <mergeCell ref="BE28:BI28"/>
    <mergeCell ref="BJ28:BN28"/>
    <mergeCell ref="A1:BN1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</mergeCells>
  <phoneticPr fontId="1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3F07-3912-4FE2-9522-08DF82B37BCB}">
  <dimension ref="A1:P23"/>
  <sheetViews>
    <sheetView workbookViewId="0">
      <selection activeCell="J17" sqref="J17"/>
    </sheetView>
  </sheetViews>
  <sheetFormatPr defaultRowHeight="13.2" x14ac:dyDescent="0.3"/>
  <cols>
    <col min="1" max="1" width="5.44140625" style="36" bestFit="1" customWidth="1"/>
    <col min="2" max="2" width="44.44140625" style="36" bestFit="1" customWidth="1"/>
    <col min="3" max="4" width="5" style="36" bestFit="1" customWidth="1"/>
    <col min="5" max="5" width="5.6640625" style="36" bestFit="1" customWidth="1"/>
    <col min="6" max="6" width="5" style="36" bestFit="1" customWidth="1"/>
    <col min="7" max="7" width="5.5546875" style="36" bestFit="1" customWidth="1"/>
    <col min="8" max="8" width="5.109375" style="36" bestFit="1" customWidth="1"/>
    <col min="9" max="9" width="5" style="36" bestFit="1" customWidth="1"/>
    <col min="10" max="10" width="5.21875" style="36" bestFit="1" customWidth="1"/>
    <col min="11" max="14" width="8.33203125" style="36" bestFit="1" customWidth="1"/>
    <col min="15" max="15" width="14.5546875" style="36" bestFit="1" customWidth="1"/>
    <col min="16" max="16" width="6" style="36" bestFit="1" customWidth="1"/>
    <col min="17" max="16384" width="8.88671875" style="36"/>
  </cols>
  <sheetData>
    <row r="1" spans="1:16" x14ac:dyDescent="0.3">
      <c r="A1" s="159" t="s">
        <v>53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39"/>
    </row>
    <row r="2" spans="1:16" x14ac:dyDescent="0.3">
      <c r="A2" s="159" t="s">
        <v>52</v>
      </c>
      <c r="B2" s="159" t="s">
        <v>51</v>
      </c>
      <c r="C2" s="159" t="s">
        <v>50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 t="s">
        <v>49</v>
      </c>
      <c r="P2" s="160" t="s">
        <v>22</v>
      </c>
    </row>
    <row r="3" spans="1:16" x14ac:dyDescent="0.3">
      <c r="A3" s="159"/>
      <c r="B3" s="159"/>
      <c r="C3" s="39" t="s">
        <v>29</v>
      </c>
      <c r="D3" s="39" t="s">
        <v>17</v>
      </c>
      <c r="E3" s="39" t="s">
        <v>30</v>
      </c>
      <c r="F3" s="39" t="s">
        <v>14</v>
      </c>
      <c r="G3" s="39" t="s">
        <v>20</v>
      </c>
      <c r="H3" s="39" t="s">
        <v>21</v>
      </c>
      <c r="I3" s="39" t="s">
        <v>31</v>
      </c>
      <c r="J3" s="39" t="s">
        <v>32</v>
      </c>
      <c r="K3" s="39" t="s">
        <v>33</v>
      </c>
      <c r="L3" s="39" t="s">
        <v>34</v>
      </c>
      <c r="M3" s="39" t="s">
        <v>35</v>
      </c>
      <c r="N3" s="39" t="s">
        <v>36</v>
      </c>
      <c r="O3" s="159"/>
      <c r="P3" s="160"/>
    </row>
    <row r="4" spans="1:16" x14ac:dyDescent="0.3">
      <c r="A4" s="37">
        <v>1</v>
      </c>
      <c r="B4" s="37" t="s">
        <v>44</v>
      </c>
      <c r="C4" s="37">
        <v>117</v>
      </c>
      <c r="D4" s="37">
        <v>85</v>
      </c>
      <c r="E4" s="37">
        <v>153</v>
      </c>
      <c r="F4" s="37">
        <v>53</v>
      </c>
      <c r="G4" s="37">
        <v>87</v>
      </c>
      <c r="H4" s="37">
        <v>102</v>
      </c>
      <c r="I4" s="37">
        <v>121</v>
      </c>
      <c r="J4" s="37">
        <v>139</v>
      </c>
      <c r="K4" s="37"/>
      <c r="L4" s="37"/>
      <c r="M4" s="37"/>
      <c r="N4" s="37"/>
      <c r="O4" s="37">
        <f>SUM(C4:N4)</f>
        <v>857</v>
      </c>
      <c r="P4" s="38">
        <f t="shared" ref="P4:P17" si="0">O4/$O$17</f>
        <v>0.5683023872679045</v>
      </c>
    </row>
    <row r="5" spans="1:16" x14ac:dyDescent="0.3">
      <c r="A5" s="118">
        <v>2</v>
      </c>
      <c r="B5" s="118" t="s">
        <v>47</v>
      </c>
      <c r="C5" s="118">
        <v>13</v>
      </c>
      <c r="D5" s="118">
        <v>19</v>
      </c>
      <c r="E5" s="118">
        <v>20</v>
      </c>
      <c r="F5" s="118">
        <v>6</v>
      </c>
      <c r="G5" s="118">
        <v>27</v>
      </c>
      <c r="H5" s="118">
        <v>15</v>
      </c>
      <c r="I5" s="118">
        <v>19</v>
      </c>
      <c r="J5" s="118">
        <v>36</v>
      </c>
      <c r="K5" s="118"/>
      <c r="L5" s="118"/>
      <c r="M5" s="118"/>
      <c r="N5" s="118"/>
      <c r="O5" s="118">
        <f t="shared" ref="O5:O16" si="1">SUM(C5:N5)</f>
        <v>155</v>
      </c>
      <c r="P5" s="119">
        <f t="shared" si="0"/>
        <v>0.10278514588859416</v>
      </c>
    </row>
    <row r="6" spans="1:16" x14ac:dyDescent="0.3">
      <c r="A6" s="37">
        <v>3</v>
      </c>
      <c r="B6" s="37" t="s">
        <v>39</v>
      </c>
      <c r="C6" s="37">
        <v>15</v>
      </c>
      <c r="D6" s="37">
        <v>12</v>
      </c>
      <c r="E6" s="37">
        <v>22</v>
      </c>
      <c r="F6" s="37">
        <v>15</v>
      </c>
      <c r="G6" s="37">
        <v>9</v>
      </c>
      <c r="H6" s="37">
        <v>4</v>
      </c>
      <c r="I6" s="37">
        <v>5</v>
      </c>
      <c r="J6" s="37">
        <v>6</v>
      </c>
      <c r="K6" s="37"/>
      <c r="L6" s="37"/>
      <c r="M6" s="37"/>
      <c r="N6" s="37"/>
      <c r="O6" s="37">
        <f t="shared" si="1"/>
        <v>88</v>
      </c>
      <c r="P6" s="38">
        <f t="shared" si="0"/>
        <v>5.8355437665782495E-2</v>
      </c>
    </row>
    <row r="7" spans="1:16" x14ac:dyDescent="0.3">
      <c r="A7" s="37">
        <v>4</v>
      </c>
      <c r="B7" s="37" t="s">
        <v>46</v>
      </c>
      <c r="C7" s="37">
        <v>14</v>
      </c>
      <c r="D7" s="37">
        <v>13</v>
      </c>
      <c r="E7" s="37">
        <v>12</v>
      </c>
      <c r="F7" s="37">
        <v>3</v>
      </c>
      <c r="G7" s="37">
        <v>13</v>
      </c>
      <c r="H7" s="37">
        <v>11</v>
      </c>
      <c r="I7" s="37">
        <v>9</v>
      </c>
      <c r="J7" s="37">
        <v>14</v>
      </c>
      <c r="K7" s="37"/>
      <c r="L7" s="37"/>
      <c r="M7" s="37"/>
      <c r="N7" s="37"/>
      <c r="O7" s="37">
        <f t="shared" si="1"/>
        <v>89</v>
      </c>
      <c r="P7" s="38">
        <f t="shared" si="0"/>
        <v>5.9018567639257294E-2</v>
      </c>
    </row>
    <row r="8" spans="1:16" x14ac:dyDescent="0.3">
      <c r="A8" s="37">
        <v>5</v>
      </c>
      <c r="B8" s="37" t="s">
        <v>37</v>
      </c>
      <c r="C8" s="37">
        <v>8</v>
      </c>
      <c r="D8" s="37">
        <v>12</v>
      </c>
      <c r="E8" s="37">
        <v>12</v>
      </c>
      <c r="F8" s="37">
        <v>7</v>
      </c>
      <c r="G8" s="37">
        <v>14</v>
      </c>
      <c r="H8" s="37">
        <v>12</v>
      </c>
      <c r="I8" s="37">
        <v>13</v>
      </c>
      <c r="J8" s="37">
        <v>13</v>
      </c>
      <c r="K8" s="37"/>
      <c r="L8" s="37"/>
      <c r="M8" s="37"/>
      <c r="N8" s="37"/>
      <c r="O8" s="37">
        <f t="shared" si="1"/>
        <v>91</v>
      </c>
      <c r="P8" s="38">
        <f t="shared" si="0"/>
        <v>6.0344827586206899E-2</v>
      </c>
    </row>
    <row r="9" spans="1:16" x14ac:dyDescent="0.3">
      <c r="A9" s="37">
        <v>6</v>
      </c>
      <c r="B9" s="37" t="s">
        <v>45</v>
      </c>
      <c r="C9" s="37">
        <v>6</v>
      </c>
      <c r="D9" s="37">
        <v>6</v>
      </c>
      <c r="E9" s="37">
        <v>6</v>
      </c>
      <c r="F9" s="37">
        <v>4</v>
      </c>
      <c r="G9" s="37">
        <v>3</v>
      </c>
      <c r="H9" s="37">
        <v>2</v>
      </c>
      <c r="I9" s="37">
        <v>5</v>
      </c>
      <c r="J9" s="37">
        <v>6</v>
      </c>
      <c r="K9" s="37"/>
      <c r="L9" s="37"/>
      <c r="M9" s="37"/>
      <c r="N9" s="37"/>
      <c r="O9" s="37">
        <f t="shared" si="1"/>
        <v>38</v>
      </c>
      <c r="P9" s="38">
        <f t="shared" si="0"/>
        <v>2.5198938992042442E-2</v>
      </c>
    </row>
    <row r="10" spans="1:16" x14ac:dyDescent="0.3">
      <c r="A10" s="37">
        <v>7</v>
      </c>
      <c r="B10" s="37" t="s">
        <v>48</v>
      </c>
      <c r="C10" s="37">
        <v>6</v>
      </c>
      <c r="D10" s="37">
        <v>4</v>
      </c>
      <c r="E10" s="37">
        <v>4</v>
      </c>
      <c r="F10" s="37">
        <v>3</v>
      </c>
      <c r="G10" s="37">
        <v>4</v>
      </c>
      <c r="H10" s="37">
        <v>4</v>
      </c>
      <c r="I10" s="37">
        <v>5</v>
      </c>
      <c r="J10" s="37">
        <v>5</v>
      </c>
      <c r="K10" s="37"/>
      <c r="L10" s="37"/>
      <c r="M10" s="37"/>
      <c r="N10" s="37"/>
      <c r="O10" s="37">
        <f t="shared" si="1"/>
        <v>35</v>
      </c>
      <c r="P10" s="38">
        <f t="shared" si="0"/>
        <v>2.3209549071618037E-2</v>
      </c>
    </row>
    <row r="11" spans="1:16" x14ac:dyDescent="0.3">
      <c r="A11" s="37">
        <v>8</v>
      </c>
      <c r="B11" s="37" t="s">
        <v>42</v>
      </c>
      <c r="C11" s="37">
        <v>4</v>
      </c>
      <c r="D11" s="37">
        <v>6</v>
      </c>
      <c r="E11" s="37">
        <v>4</v>
      </c>
      <c r="F11" s="37">
        <v>2</v>
      </c>
      <c r="G11" s="37">
        <v>0</v>
      </c>
      <c r="H11" s="37">
        <v>4</v>
      </c>
      <c r="I11" s="37">
        <v>7</v>
      </c>
      <c r="J11" s="37">
        <v>2</v>
      </c>
      <c r="K11" s="37"/>
      <c r="L11" s="37"/>
      <c r="M11" s="37"/>
      <c r="N11" s="37"/>
      <c r="O11" s="37">
        <f t="shared" si="1"/>
        <v>29</v>
      </c>
      <c r="P11" s="38">
        <f t="shared" si="0"/>
        <v>1.9230769230769232E-2</v>
      </c>
    </row>
    <row r="12" spans="1:16" x14ac:dyDescent="0.3">
      <c r="A12" s="37">
        <v>9</v>
      </c>
      <c r="B12" s="37" t="s">
        <v>40</v>
      </c>
      <c r="C12" s="37">
        <v>5</v>
      </c>
      <c r="D12" s="37">
        <v>2</v>
      </c>
      <c r="E12" s="37">
        <v>1</v>
      </c>
      <c r="F12" s="37">
        <v>4</v>
      </c>
      <c r="G12" s="37">
        <v>5</v>
      </c>
      <c r="H12" s="37">
        <v>0</v>
      </c>
      <c r="I12" s="37">
        <v>1</v>
      </c>
      <c r="J12" s="37">
        <v>1</v>
      </c>
      <c r="K12" s="37"/>
      <c r="L12" s="37"/>
      <c r="M12" s="37"/>
      <c r="N12" s="37"/>
      <c r="O12" s="37">
        <f t="shared" si="1"/>
        <v>19</v>
      </c>
      <c r="P12" s="38">
        <f t="shared" si="0"/>
        <v>1.2599469496021221E-2</v>
      </c>
    </row>
    <row r="13" spans="1:16" x14ac:dyDescent="0.3">
      <c r="A13" s="37">
        <v>10</v>
      </c>
      <c r="B13" s="37" t="s">
        <v>38</v>
      </c>
      <c r="C13" s="37">
        <v>0</v>
      </c>
      <c r="D13" s="37">
        <v>0</v>
      </c>
      <c r="E13" s="37">
        <v>0</v>
      </c>
      <c r="F13" s="37">
        <v>2</v>
      </c>
      <c r="G13" s="37">
        <v>10</v>
      </c>
      <c r="H13" s="37">
        <v>3</v>
      </c>
      <c r="I13" s="37">
        <v>10</v>
      </c>
      <c r="J13" s="37">
        <v>12</v>
      </c>
      <c r="K13" s="37"/>
      <c r="L13" s="37"/>
      <c r="M13" s="37"/>
      <c r="N13" s="37"/>
      <c r="O13" s="37">
        <f t="shared" si="1"/>
        <v>37</v>
      </c>
      <c r="P13" s="38">
        <f t="shared" si="0"/>
        <v>2.4535809018567639E-2</v>
      </c>
    </row>
    <row r="14" spans="1:16" x14ac:dyDescent="0.3">
      <c r="A14" s="37">
        <v>11</v>
      </c>
      <c r="B14" s="37" t="s">
        <v>41</v>
      </c>
      <c r="C14" s="37">
        <v>3</v>
      </c>
      <c r="D14" s="37">
        <v>1</v>
      </c>
      <c r="E14" s="37">
        <v>4</v>
      </c>
      <c r="F14" s="37">
        <v>1</v>
      </c>
      <c r="G14" s="37">
        <v>1</v>
      </c>
      <c r="H14" s="37">
        <v>0</v>
      </c>
      <c r="I14" s="37">
        <v>1</v>
      </c>
      <c r="J14" s="37">
        <v>4</v>
      </c>
      <c r="K14" s="37"/>
      <c r="L14" s="37"/>
      <c r="M14" s="37"/>
      <c r="N14" s="37"/>
      <c r="O14" s="37">
        <f t="shared" si="1"/>
        <v>15</v>
      </c>
      <c r="P14" s="38">
        <f t="shared" si="0"/>
        <v>9.9469496021220155E-3</v>
      </c>
    </row>
    <row r="15" spans="1:16" x14ac:dyDescent="0.3">
      <c r="A15" s="37">
        <v>12</v>
      </c>
      <c r="B15" s="37" t="s">
        <v>43</v>
      </c>
      <c r="C15" s="37">
        <v>2</v>
      </c>
      <c r="D15" s="37">
        <v>1</v>
      </c>
      <c r="E15" s="37">
        <v>2</v>
      </c>
      <c r="F15" s="37">
        <v>0</v>
      </c>
      <c r="G15" s="37">
        <v>1</v>
      </c>
      <c r="H15" s="37">
        <v>4</v>
      </c>
      <c r="I15" s="37">
        <v>3</v>
      </c>
      <c r="J15" s="37">
        <v>2</v>
      </c>
      <c r="K15" s="37"/>
      <c r="L15" s="37"/>
      <c r="M15" s="37"/>
      <c r="N15" s="37"/>
      <c r="O15" s="37">
        <f t="shared" si="1"/>
        <v>15</v>
      </c>
      <c r="P15" s="38">
        <f t="shared" si="0"/>
        <v>9.9469496021220155E-3</v>
      </c>
    </row>
    <row r="16" spans="1:16" x14ac:dyDescent="0.3">
      <c r="A16" s="37">
        <v>13</v>
      </c>
      <c r="B16" s="37" t="s">
        <v>25</v>
      </c>
      <c r="C16" s="37">
        <v>2</v>
      </c>
      <c r="D16" s="37">
        <v>5</v>
      </c>
      <c r="E16" s="37">
        <v>8</v>
      </c>
      <c r="F16" s="37">
        <v>6</v>
      </c>
      <c r="G16" s="37">
        <v>4</v>
      </c>
      <c r="H16" s="37">
        <v>5</v>
      </c>
      <c r="I16" s="37">
        <v>4</v>
      </c>
      <c r="J16" s="37">
        <v>6</v>
      </c>
      <c r="K16" s="37"/>
      <c r="L16" s="37"/>
      <c r="M16" s="37"/>
      <c r="N16" s="37"/>
      <c r="O16" s="37">
        <f t="shared" si="1"/>
        <v>40</v>
      </c>
      <c r="P16" s="38">
        <f t="shared" si="0"/>
        <v>2.6525198938992044E-2</v>
      </c>
    </row>
    <row r="17" spans="1:16" x14ac:dyDescent="0.3">
      <c r="A17" s="158" t="s">
        <v>26</v>
      </c>
      <c r="B17" s="158"/>
      <c r="C17" s="37">
        <f>SUM(C4:C16)</f>
        <v>195</v>
      </c>
      <c r="D17" s="37">
        <f t="shared" ref="D17:O17" si="2">SUM(D4:D16)</f>
        <v>166</v>
      </c>
      <c r="E17" s="37">
        <f t="shared" si="2"/>
        <v>248</v>
      </c>
      <c r="F17" s="37">
        <f t="shared" si="2"/>
        <v>106</v>
      </c>
      <c r="G17" s="37">
        <f t="shared" si="2"/>
        <v>178</v>
      </c>
      <c r="H17" s="37">
        <f t="shared" si="2"/>
        <v>166</v>
      </c>
      <c r="I17" s="37">
        <f t="shared" si="2"/>
        <v>203</v>
      </c>
      <c r="J17" s="37">
        <f t="shared" si="2"/>
        <v>246</v>
      </c>
      <c r="K17" s="37">
        <f t="shared" si="2"/>
        <v>0</v>
      </c>
      <c r="L17" s="37">
        <f t="shared" si="2"/>
        <v>0</v>
      </c>
      <c r="M17" s="37">
        <f t="shared" si="2"/>
        <v>0</v>
      </c>
      <c r="N17" s="37">
        <f t="shared" si="2"/>
        <v>0</v>
      </c>
      <c r="O17" s="37">
        <f t="shared" si="2"/>
        <v>1508</v>
      </c>
      <c r="P17" s="38">
        <f t="shared" si="0"/>
        <v>1</v>
      </c>
    </row>
    <row r="20" spans="1:16" x14ac:dyDescent="0.3">
      <c r="B20" s="36" t="s">
        <v>99</v>
      </c>
      <c r="C20" s="36">
        <v>8</v>
      </c>
      <c r="D20" s="36">
        <v>5</v>
      </c>
      <c r="E20" s="36">
        <v>8</v>
      </c>
      <c r="F20" s="36">
        <v>3</v>
      </c>
      <c r="G20" s="36">
        <v>5</v>
      </c>
      <c r="H20" s="36">
        <v>6</v>
      </c>
      <c r="I20" s="36">
        <v>9</v>
      </c>
      <c r="J20" s="36">
        <v>12</v>
      </c>
    </row>
    <row r="21" spans="1:16" x14ac:dyDescent="0.3">
      <c r="B21" s="36" t="s">
        <v>100</v>
      </c>
      <c r="C21" s="36">
        <f>C5-C20</f>
        <v>5</v>
      </c>
      <c r="D21" s="36">
        <f t="shared" ref="D21:N21" si="3">D5-D20</f>
        <v>14</v>
      </c>
      <c r="E21" s="36">
        <f t="shared" si="3"/>
        <v>12</v>
      </c>
      <c r="F21" s="36">
        <f t="shared" si="3"/>
        <v>3</v>
      </c>
      <c r="G21" s="36">
        <f t="shared" si="3"/>
        <v>22</v>
      </c>
      <c r="H21" s="36">
        <f t="shared" si="3"/>
        <v>9</v>
      </c>
      <c r="I21" s="36">
        <f t="shared" si="3"/>
        <v>10</v>
      </c>
      <c r="J21" s="36">
        <f t="shared" si="3"/>
        <v>24</v>
      </c>
      <c r="K21" s="36">
        <f t="shared" si="3"/>
        <v>0</v>
      </c>
      <c r="L21" s="36">
        <f t="shared" si="3"/>
        <v>0</v>
      </c>
      <c r="M21" s="36">
        <f t="shared" si="3"/>
        <v>0</v>
      </c>
      <c r="N21" s="36">
        <f t="shared" si="3"/>
        <v>0</v>
      </c>
    </row>
    <row r="22" spans="1:16" x14ac:dyDescent="0.3">
      <c r="B22" s="36" t="s">
        <v>101</v>
      </c>
      <c r="C22" s="117">
        <f>C20/C5</f>
        <v>0.61538461538461542</v>
      </c>
      <c r="D22" s="117">
        <f t="shared" ref="D22:N22" si="4">D20/D5</f>
        <v>0.26315789473684209</v>
      </c>
      <c r="E22" s="117">
        <f t="shared" si="4"/>
        <v>0.4</v>
      </c>
      <c r="F22" s="117">
        <f t="shared" si="4"/>
        <v>0.5</v>
      </c>
      <c r="G22" s="117">
        <f t="shared" si="4"/>
        <v>0.18518518518518517</v>
      </c>
      <c r="H22" s="117">
        <f t="shared" si="4"/>
        <v>0.4</v>
      </c>
      <c r="I22" s="117">
        <f t="shared" si="4"/>
        <v>0.47368421052631576</v>
      </c>
      <c r="J22" s="117">
        <f t="shared" si="4"/>
        <v>0.33333333333333331</v>
      </c>
      <c r="K22" s="117" t="e">
        <f t="shared" si="4"/>
        <v>#DIV/0!</v>
      </c>
      <c r="L22" s="117" t="e">
        <f t="shared" si="4"/>
        <v>#DIV/0!</v>
      </c>
      <c r="M22" s="117" t="e">
        <f t="shared" si="4"/>
        <v>#DIV/0!</v>
      </c>
      <c r="N22" s="117" t="e">
        <f t="shared" si="4"/>
        <v>#DIV/0!</v>
      </c>
      <c r="O22" s="117"/>
    </row>
    <row r="23" spans="1:16" x14ac:dyDescent="0.3">
      <c r="B23" s="36" t="s">
        <v>102</v>
      </c>
      <c r="C23" s="117">
        <f>C21/C5</f>
        <v>0.38461538461538464</v>
      </c>
      <c r="D23" s="117">
        <f t="shared" ref="D23:N23" si="5">D21/D5</f>
        <v>0.73684210526315785</v>
      </c>
      <c r="E23" s="117">
        <f t="shared" si="5"/>
        <v>0.6</v>
      </c>
      <c r="F23" s="117">
        <f t="shared" si="5"/>
        <v>0.5</v>
      </c>
      <c r="G23" s="117">
        <f t="shared" si="5"/>
        <v>0.81481481481481477</v>
      </c>
      <c r="H23" s="117">
        <f t="shared" si="5"/>
        <v>0.6</v>
      </c>
      <c r="I23" s="117">
        <f t="shared" si="5"/>
        <v>0.52631578947368418</v>
      </c>
      <c r="J23" s="117">
        <f t="shared" si="5"/>
        <v>0.66666666666666663</v>
      </c>
      <c r="K23" s="117" t="e">
        <f t="shared" si="5"/>
        <v>#DIV/0!</v>
      </c>
      <c r="L23" s="117" t="e">
        <f t="shared" si="5"/>
        <v>#DIV/0!</v>
      </c>
      <c r="M23" s="117" t="e">
        <f t="shared" si="5"/>
        <v>#DIV/0!</v>
      </c>
      <c r="N23" s="117" t="e">
        <f t="shared" si="5"/>
        <v>#DIV/0!</v>
      </c>
      <c r="O23" s="117"/>
    </row>
  </sheetData>
  <sortState xmlns:xlrd2="http://schemas.microsoft.com/office/spreadsheetml/2017/richdata2" ref="A4:O15">
    <sortCondition ref="B4:B15" customList="MARUTI SUZUKI INDIA LTD,HYUNDAI MOTOR INDIA LTD,TATA MOTORS PASSENGER VEHICLES LTD,KIA MOTORS INDIA PVT LTD,TOYOTA KIRLOSKAR MOTOR PVT LTD,MAHINDRA &amp; MAHINDRA LIMITED,HONDA CARS INDIA LTD,NISSAN MOTOR INDIA PVT LTD,SKODA AUTO VOLKSWAGEN INDIA PVT LTD,TATA PASSENGER ELECTRIC MOBILITY LTD,RENAULT INDIA PVT LTD,MG MOTOR INDIA PVT LTD"/>
  </sortState>
  <mergeCells count="7">
    <mergeCell ref="A17:B17"/>
    <mergeCell ref="C2:N2"/>
    <mergeCell ref="P2:P3"/>
    <mergeCell ref="A1:O1"/>
    <mergeCell ref="A2:A3"/>
    <mergeCell ref="B2:B3"/>
    <mergeCell ref="O2:O3"/>
  </mergeCells>
  <printOptions gridLines="1"/>
  <pageMargins left="0.7" right="0.7" top="0.75" bottom="0.75" header="0.3" footer="0.3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F63A-8ED0-4E7E-BB98-B4B3256AD464}">
  <dimension ref="A1:P23"/>
  <sheetViews>
    <sheetView workbookViewId="0">
      <selection activeCell="J20" sqref="J20"/>
    </sheetView>
  </sheetViews>
  <sheetFormatPr defaultRowHeight="13.2" x14ac:dyDescent="0.3"/>
  <cols>
    <col min="1" max="1" width="5.44140625" style="36" bestFit="1" customWidth="1"/>
    <col min="2" max="2" width="44.44140625" style="36" bestFit="1" customWidth="1"/>
    <col min="3" max="3" width="5" style="36" bestFit="1" customWidth="1"/>
    <col min="4" max="4" width="6" style="36" bestFit="1" customWidth="1"/>
    <col min="5" max="5" width="5.6640625" style="36" bestFit="1" customWidth="1"/>
    <col min="6" max="6" width="5" style="36" bestFit="1" customWidth="1"/>
    <col min="7" max="7" width="6" style="36" bestFit="1" customWidth="1"/>
    <col min="8" max="8" width="5.109375" style="36" bestFit="1" customWidth="1"/>
    <col min="9" max="9" width="5" style="36" bestFit="1" customWidth="1"/>
    <col min="10" max="10" width="5.21875" style="36" bestFit="1" customWidth="1"/>
    <col min="11" max="14" width="8.33203125" style="36" bestFit="1" customWidth="1"/>
    <col min="15" max="15" width="14.5546875" style="36" bestFit="1" customWidth="1"/>
    <col min="16" max="16" width="6" style="36" bestFit="1" customWidth="1"/>
    <col min="17" max="16384" width="8.88671875" style="36"/>
  </cols>
  <sheetData>
    <row r="1" spans="1:16" x14ac:dyDescent="0.3">
      <c r="A1" s="159" t="s">
        <v>54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39"/>
    </row>
    <row r="2" spans="1:16" x14ac:dyDescent="0.3">
      <c r="A2" s="159" t="s">
        <v>52</v>
      </c>
      <c r="B2" s="159" t="s">
        <v>51</v>
      </c>
      <c r="C2" s="159" t="s">
        <v>50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 t="s">
        <v>49</v>
      </c>
      <c r="P2" s="160" t="s">
        <v>22</v>
      </c>
    </row>
    <row r="3" spans="1:16" x14ac:dyDescent="0.3">
      <c r="A3" s="159"/>
      <c r="B3" s="159"/>
      <c r="C3" s="39" t="s">
        <v>29</v>
      </c>
      <c r="D3" s="39" t="s">
        <v>17</v>
      </c>
      <c r="E3" s="39" t="s">
        <v>30</v>
      </c>
      <c r="F3" s="39" t="s">
        <v>14</v>
      </c>
      <c r="G3" s="39" t="s">
        <v>20</v>
      </c>
      <c r="H3" s="39" t="s">
        <v>21</v>
      </c>
      <c r="I3" s="39" t="s">
        <v>31</v>
      </c>
      <c r="J3" s="39" t="s">
        <v>32</v>
      </c>
      <c r="K3" s="39" t="s">
        <v>33</v>
      </c>
      <c r="L3" s="39" t="s">
        <v>34</v>
      </c>
      <c r="M3" s="39" t="s">
        <v>35</v>
      </c>
      <c r="N3" s="39" t="s">
        <v>36</v>
      </c>
      <c r="O3" s="159"/>
      <c r="P3" s="160"/>
    </row>
    <row r="4" spans="1:16" x14ac:dyDescent="0.3">
      <c r="A4" s="37">
        <v>1</v>
      </c>
      <c r="B4" s="37" t="s">
        <v>44</v>
      </c>
      <c r="C4" s="37">
        <v>93</v>
      </c>
      <c r="D4" s="37">
        <v>81</v>
      </c>
      <c r="E4" s="37">
        <v>162</v>
      </c>
      <c r="F4" s="37">
        <v>69</v>
      </c>
      <c r="G4" s="37">
        <v>102</v>
      </c>
      <c r="H4" s="37">
        <v>108</v>
      </c>
      <c r="I4" s="37">
        <v>124</v>
      </c>
      <c r="J4" s="37">
        <v>123</v>
      </c>
      <c r="K4" s="37"/>
      <c r="L4" s="37"/>
      <c r="M4" s="37"/>
      <c r="N4" s="37"/>
      <c r="O4" s="37">
        <f>SUM(C4:N4)</f>
        <v>862</v>
      </c>
      <c r="P4" s="38">
        <f>O4/$O$17</f>
        <v>0.63475699558173782</v>
      </c>
    </row>
    <row r="5" spans="1:16" x14ac:dyDescent="0.3">
      <c r="A5" s="118">
        <v>2</v>
      </c>
      <c r="B5" s="118" t="s">
        <v>47</v>
      </c>
      <c r="C5" s="118">
        <v>19</v>
      </c>
      <c r="D5" s="118">
        <v>8</v>
      </c>
      <c r="E5" s="118">
        <v>21</v>
      </c>
      <c r="F5" s="118">
        <v>11</v>
      </c>
      <c r="G5" s="118">
        <v>10</v>
      </c>
      <c r="H5" s="118">
        <v>11</v>
      </c>
      <c r="I5" s="118">
        <v>14</v>
      </c>
      <c r="J5" s="118">
        <v>19</v>
      </c>
      <c r="K5" s="118"/>
      <c r="L5" s="118"/>
      <c r="M5" s="118"/>
      <c r="N5" s="118"/>
      <c r="O5" s="118">
        <f>SUM(C5:N5)</f>
        <v>113</v>
      </c>
      <c r="P5" s="119">
        <f>O5/$O$17</f>
        <v>8.3210603829160526E-2</v>
      </c>
    </row>
    <row r="6" spans="1:16" x14ac:dyDescent="0.3">
      <c r="A6" s="37">
        <v>3</v>
      </c>
      <c r="B6" s="37" t="s">
        <v>39</v>
      </c>
      <c r="C6" s="37">
        <v>11</v>
      </c>
      <c r="D6" s="37">
        <v>12</v>
      </c>
      <c r="E6" s="37">
        <v>22</v>
      </c>
      <c r="F6" s="37">
        <v>18</v>
      </c>
      <c r="G6" s="37">
        <v>11</v>
      </c>
      <c r="H6" s="37">
        <v>5</v>
      </c>
      <c r="I6" s="37">
        <v>10</v>
      </c>
      <c r="J6" s="37">
        <v>15</v>
      </c>
      <c r="K6" s="37"/>
      <c r="L6" s="37"/>
      <c r="M6" s="37"/>
      <c r="N6" s="37"/>
      <c r="O6" s="37">
        <f>SUM(C6:N6)</f>
        <v>104</v>
      </c>
      <c r="P6" s="38">
        <f>O6/$O$17</f>
        <v>7.6583210603829166E-2</v>
      </c>
    </row>
    <row r="7" spans="1:16" x14ac:dyDescent="0.3">
      <c r="A7" s="37">
        <v>4</v>
      </c>
      <c r="B7" s="37" t="s">
        <v>46</v>
      </c>
      <c r="C7" s="37">
        <v>9</v>
      </c>
      <c r="D7" s="37">
        <v>2</v>
      </c>
      <c r="E7" s="37">
        <v>9</v>
      </c>
      <c r="F7" s="37">
        <v>5</v>
      </c>
      <c r="G7" s="37">
        <v>4</v>
      </c>
      <c r="H7" s="37">
        <v>6</v>
      </c>
      <c r="I7" s="37">
        <v>10</v>
      </c>
      <c r="J7" s="37">
        <v>11</v>
      </c>
      <c r="K7" s="37"/>
      <c r="L7" s="37"/>
      <c r="M7" s="37"/>
      <c r="N7" s="37"/>
      <c r="O7" s="37">
        <f t="shared" ref="O7:O16" si="0">SUM(C7:N7)</f>
        <v>56</v>
      </c>
      <c r="P7" s="38">
        <f t="shared" ref="P7:P16" si="1">O7/$O$17</f>
        <v>4.1237113402061855E-2</v>
      </c>
    </row>
    <row r="8" spans="1:16" x14ac:dyDescent="0.3">
      <c r="A8" s="37">
        <v>5</v>
      </c>
      <c r="B8" s="37" t="s">
        <v>37</v>
      </c>
      <c r="C8" s="37">
        <v>9</v>
      </c>
      <c r="D8" s="37">
        <v>10</v>
      </c>
      <c r="E8" s="37">
        <v>5</v>
      </c>
      <c r="F8" s="37">
        <v>4</v>
      </c>
      <c r="G8" s="37">
        <v>7</v>
      </c>
      <c r="H8" s="37">
        <v>15</v>
      </c>
      <c r="I8" s="37">
        <v>4</v>
      </c>
      <c r="J8" s="37">
        <v>21</v>
      </c>
      <c r="K8" s="37"/>
      <c r="L8" s="37"/>
      <c r="M8" s="37"/>
      <c r="N8" s="37"/>
      <c r="O8" s="37">
        <f t="shared" si="0"/>
        <v>75</v>
      </c>
      <c r="P8" s="38">
        <f t="shared" si="1"/>
        <v>5.5228276877761412E-2</v>
      </c>
    </row>
    <row r="9" spans="1:16" x14ac:dyDescent="0.3">
      <c r="A9" s="37">
        <v>6</v>
      </c>
      <c r="B9" s="37" t="s">
        <v>45</v>
      </c>
      <c r="C9" s="37">
        <v>5</v>
      </c>
      <c r="D9" s="37">
        <v>2</v>
      </c>
      <c r="E9" s="37">
        <v>2</v>
      </c>
      <c r="F9" s="37">
        <v>3</v>
      </c>
      <c r="G9" s="37">
        <v>2</v>
      </c>
      <c r="H9" s="37">
        <v>2</v>
      </c>
      <c r="I9" s="37">
        <v>1</v>
      </c>
      <c r="J9" s="37">
        <v>4</v>
      </c>
      <c r="K9" s="37"/>
      <c r="L9" s="37"/>
      <c r="M9" s="37"/>
      <c r="N9" s="37"/>
      <c r="O9" s="37">
        <f t="shared" si="0"/>
        <v>21</v>
      </c>
      <c r="P9" s="38">
        <f t="shared" si="1"/>
        <v>1.5463917525773196E-2</v>
      </c>
    </row>
    <row r="10" spans="1:16" x14ac:dyDescent="0.3">
      <c r="A10" s="37">
        <v>7</v>
      </c>
      <c r="B10" s="37" t="s">
        <v>48</v>
      </c>
      <c r="C10" s="37">
        <v>3</v>
      </c>
      <c r="D10" s="37">
        <v>5</v>
      </c>
      <c r="E10" s="37">
        <v>4</v>
      </c>
      <c r="F10" s="37">
        <v>2</v>
      </c>
      <c r="G10" s="37">
        <v>4</v>
      </c>
      <c r="H10" s="37">
        <v>3</v>
      </c>
      <c r="I10" s="37">
        <v>5</v>
      </c>
      <c r="J10" s="37">
        <v>2</v>
      </c>
      <c r="K10" s="37"/>
      <c r="L10" s="37"/>
      <c r="M10" s="37"/>
      <c r="N10" s="37"/>
      <c r="O10" s="37">
        <f t="shared" si="0"/>
        <v>28</v>
      </c>
      <c r="P10" s="38">
        <f t="shared" si="1"/>
        <v>2.0618556701030927E-2</v>
      </c>
    </row>
    <row r="11" spans="1:16" x14ac:dyDescent="0.3">
      <c r="A11" s="37">
        <v>8</v>
      </c>
      <c r="B11" s="37" t="s">
        <v>42</v>
      </c>
      <c r="C11" s="37">
        <v>4</v>
      </c>
      <c r="D11" s="37">
        <v>2</v>
      </c>
      <c r="E11" s="37">
        <v>3</v>
      </c>
      <c r="F11" s="37">
        <v>1</v>
      </c>
      <c r="G11" s="37">
        <v>1</v>
      </c>
      <c r="H11" s="37">
        <v>1</v>
      </c>
      <c r="I11" s="37">
        <v>3</v>
      </c>
      <c r="J11" s="37">
        <v>3</v>
      </c>
      <c r="K11" s="37"/>
      <c r="L11" s="37"/>
      <c r="M11" s="37"/>
      <c r="N11" s="37"/>
      <c r="O11" s="37">
        <f t="shared" si="0"/>
        <v>18</v>
      </c>
      <c r="P11" s="38">
        <f t="shared" si="1"/>
        <v>1.3254786450662739E-2</v>
      </c>
    </row>
    <row r="12" spans="1:16" x14ac:dyDescent="0.3">
      <c r="A12" s="37">
        <v>9</v>
      </c>
      <c r="B12" s="37" t="s">
        <v>40</v>
      </c>
      <c r="C12" s="37">
        <v>2</v>
      </c>
      <c r="D12" s="37">
        <v>0</v>
      </c>
      <c r="E12" s="37">
        <v>1</v>
      </c>
      <c r="F12" s="37">
        <v>2</v>
      </c>
      <c r="G12" s="37">
        <v>1</v>
      </c>
      <c r="H12" s="37">
        <v>0</v>
      </c>
      <c r="I12" s="37">
        <v>1</v>
      </c>
      <c r="J12" s="37">
        <v>4</v>
      </c>
      <c r="K12" s="37"/>
      <c r="L12" s="37"/>
      <c r="M12" s="37"/>
      <c r="N12" s="37"/>
      <c r="O12" s="37">
        <f t="shared" si="0"/>
        <v>11</v>
      </c>
      <c r="P12" s="38">
        <f t="shared" si="1"/>
        <v>8.1001472754050081E-3</v>
      </c>
    </row>
    <row r="13" spans="1:16" x14ac:dyDescent="0.3">
      <c r="A13" s="37">
        <v>10</v>
      </c>
      <c r="B13" s="37" t="s">
        <v>38</v>
      </c>
      <c r="C13" s="37">
        <v>0</v>
      </c>
      <c r="D13" s="37">
        <v>0</v>
      </c>
      <c r="E13" s="37">
        <v>0</v>
      </c>
      <c r="F13" s="37">
        <v>1</v>
      </c>
      <c r="G13" s="37">
        <v>10</v>
      </c>
      <c r="H13" s="37">
        <v>11</v>
      </c>
      <c r="I13" s="37">
        <v>13</v>
      </c>
      <c r="J13" s="37">
        <v>8</v>
      </c>
      <c r="K13" s="37"/>
      <c r="L13" s="37"/>
      <c r="M13" s="37"/>
      <c r="N13" s="37"/>
      <c r="O13" s="37">
        <f t="shared" si="0"/>
        <v>43</v>
      </c>
      <c r="P13" s="38">
        <f t="shared" si="1"/>
        <v>3.1664212076583209E-2</v>
      </c>
    </row>
    <row r="14" spans="1:16" x14ac:dyDescent="0.3">
      <c r="A14" s="37">
        <v>11</v>
      </c>
      <c r="B14" s="37" t="s">
        <v>41</v>
      </c>
      <c r="C14" s="37">
        <v>4</v>
      </c>
      <c r="D14" s="37">
        <v>2</v>
      </c>
      <c r="E14" s="37">
        <v>3</v>
      </c>
      <c r="F14" s="37">
        <v>1</v>
      </c>
      <c r="G14" s="37">
        <v>1</v>
      </c>
      <c r="H14" s="37">
        <v>5</v>
      </c>
      <c r="I14" s="37">
        <v>4</v>
      </c>
      <c r="J14" s="37">
        <v>2</v>
      </c>
      <c r="K14" s="37"/>
      <c r="L14" s="37"/>
      <c r="M14" s="37"/>
      <c r="N14" s="37"/>
      <c r="O14" s="37">
        <f t="shared" si="0"/>
        <v>22</v>
      </c>
      <c r="P14" s="38">
        <f t="shared" si="1"/>
        <v>1.6200294550810016E-2</v>
      </c>
    </row>
    <row r="15" spans="1:16" x14ac:dyDescent="0.3">
      <c r="A15" s="37">
        <v>12</v>
      </c>
      <c r="B15" s="37" t="s">
        <v>43</v>
      </c>
      <c r="C15" s="37">
        <v>0</v>
      </c>
      <c r="D15" s="37">
        <v>0</v>
      </c>
      <c r="E15" s="37">
        <v>2</v>
      </c>
      <c r="F15" s="37">
        <v>1</v>
      </c>
      <c r="G15" s="37">
        <v>1</v>
      </c>
      <c r="H15" s="37">
        <v>1</v>
      </c>
      <c r="I15" s="37">
        <v>0</v>
      </c>
      <c r="J15" s="37">
        <v>0</v>
      </c>
      <c r="K15" s="37"/>
      <c r="L15" s="37"/>
      <c r="M15" s="37"/>
      <c r="N15" s="37"/>
      <c r="O15" s="37">
        <f t="shared" si="0"/>
        <v>5</v>
      </c>
      <c r="P15" s="38">
        <f t="shared" si="1"/>
        <v>3.6818851251840942E-3</v>
      </c>
    </row>
    <row r="16" spans="1:16" x14ac:dyDescent="0.3">
      <c r="A16" s="161" t="s">
        <v>25</v>
      </c>
      <c r="B16" s="162"/>
      <c r="C16" s="37">
        <v>1</v>
      </c>
      <c r="D16" s="37">
        <v>2</v>
      </c>
      <c r="E16" s="37">
        <v>2</v>
      </c>
      <c r="F16" s="37">
        <v>2</v>
      </c>
      <c r="G16" s="37">
        <v>1</v>
      </c>
      <c r="H16" s="37">
        <v>2</v>
      </c>
      <c r="I16" s="37">
        <v>1</v>
      </c>
      <c r="J16" s="37">
        <v>3</v>
      </c>
      <c r="K16" s="37"/>
      <c r="L16" s="37"/>
      <c r="M16" s="37"/>
      <c r="N16" s="37"/>
      <c r="O16" s="37">
        <f t="shared" si="0"/>
        <v>14</v>
      </c>
      <c r="P16" s="38">
        <f t="shared" si="1"/>
        <v>1.0309278350515464E-2</v>
      </c>
    </row>
    <row r="17" spans="1:16" x14ac:dyDescent="0.3">
      <c r="A17" s="158" t="s">
        <v>26</v>
      </c>
      <c r="B17" s="158"/>
      <c r="C17" s="37">
        <f t="shared" ref="C17:J17" si="2">SUM(C4:C16)</f>
        <v>160</v>
      </c>
      <c r="D17" s="37">
        <f t="shared" si="2"/>
        <v>126</v>
      </c>
      <c r="E17" s="37">
        <f t="shared" si="2"/>
        <v>236</v>
      </c>
      <c r="F17" s="37">
        <f t="shared" si="2"/>
        <v>120</v>
      </c>
      <c r="G17" s="37">
        <f t="shared" si="2"/>
        <v>155</v>
      </c>
      <c r="H17" s="37">
        <f t="shared" si="2"/>
        <v>170</v>
      </c>
      <c r="I17" s="37">
        <f t="shared" si="2"/>
        <v>190</v>
      </c>
      <c r="J17" s="37">
        <f t="shared" si="2"/>
        <v>215</v>
      </c>
      <c r="K17" s="37">
        <f t="shared" ref="K17:O17" si="3">SUM(K4:K15)</f>
        <v>0</v>
      </c>
      <c r="L17" s="37">
        <f t="shared" si="3"/>
        <v>0</v>
      </c>
      <c r="M17" s="37">
        <f t="shared" si="3"/>
        <v>0</v>
      </c>
      <c r="N17" s="37">
        <f t="shared" si="3"/>
        <v>0</v>
      </c>
      <c r="O17" s="37">
        <f t="shared" si="3"/>
        <v>1358</v>
      </c>
      <c r="P17" s="38">
        <f>O17/$O$17</f>
        <v>1</v>
      </c>
    </row>
    <row r="20" spans="1:16" x14ac:dyDescent="0.3">
      <c r="B20" s="36" t="s">
        <v>99</v>
      </c>
      <c r="C20" s="36">
        <v>1</v>
      </c>
      <c r="D20" s="36">
        <v>0</v>
      </c>
      <c r="E20" s="36">
        <v>8</v>
      </c>
      <c r="F20" s="36">
        <v>1</v>
      </c>
      <c r="G20" s="36">
        <v>0</v>
      </c>
      <c r="H20" s="36">
        <v>3</v>
      </c>
      <c r="I20" s="36">
        <v>6</v>
      </c>
      <c r="J20" s="36">
        <v>7</v>
      </c>
    </row>
    <row r="21" spans="1:16" x14ac:dyDescent="0.3">
      <c r="B21" s="36" t="s">
        <v>100</v>
      </c>
      <c r="C21" s="36">
        <f>C5-C20</f>
        <v>18</v>
      </c>
      <c r="D21" s="36">
        <f t="shared" ref="D21:N21" si="4">D5-D20</f>
        <v>8</v>
      </c>
      <c r="E21" s="36">
        <f t="shared" si="4"/>
        <v>13</v>
      </c>
      <c r="F21" s="36">
        <f t="shared" si="4"/>
        <v>10</v>
      </c>
      <c r="G21" s="36">
        <f t="shared" si="4"/>
        <v>10</v>
      </c>
      <c r="H21" s="36">
        <f t="shared" si="4"/>
        <v>8</v>
      </c>
      <c r="I21" s="36">
        <f t="shared" si="4"/>
        <v>8</v>
      </c>
      <c r="J21" s="36">
        <f t="shared" si="4"/>
        <v>12</v>
      </c>
      <c r="K21" s="36">
        <f t="shared" si="4"/>
        <v>0</v>
      </c>
      <c r="L21" s="36">
        <f t="shared" si="4"/>
        <v>0</v>
      </c>
      <c r="M21" s="36">
        <f t="shared" si="4"/>
        <v>0</v>
      </c>
      <c r="N21" s="36">
        <f t="shared" si="4"/>
        <v>0</v>
      </c>
    </row>
    <row r="22" spans="1:16" x14ac:dyDescent="0.3">
      <c r="B22" s="36" t="s">
        <v>101</v>
      </c>
      <c r="C22" s="117">
        <f>C20/C5</f>
        <v>5.2631578947368418E-2</v>
      </c>
      <c r="D22" s="117">
        <f t="shared" ref="D22:N22" si="5">D20/D5</f>
        <v>0</v>
      </c>
      <c r="E22" s="117">
        <f t="shared" si="5"/>
        <v>0.38095238095238093</v>
      </c>
      <c r="F22" s="117">
        <f t="shared" si="5"/>
        <v>9.0909090909090912E-2</v>
      </c>
      <c r="G22" s="117">
        <f t="shared" si="5"/>
        <v>0</v>
      </c>
      <c r="H22" s="117">
        <f t="shared" si="5"/>
        <v>0.27272727272727271</v>
      </c>
      <c r="I22" s="117">
        <f t="shared" si="5"/>
        <v>0.42857142857142855</v>
      </c>
      <c r="J22" s="117">
        <f t="shared" si="5"/>
        <v>0.36842105263157893</v>
      </c>
      <c r="K22" s="117" t="e">
        <f t="shared" si="5"/>
        <v>#DIV/0!</v>
      </c>
      <c r="L22" s="117" t="e">
        <f t="shared" si="5"/>
        <v>#DIV/0!</v>
      </c>
      <c r="M22" s="117" t="e">
        <f t="shared" si="5"/>
        <v>#DIV/0!</v>
      </c>
      <c r="N22" s="117" t="e">
        <f t="shared" si="5"/>
        <v>#DIV/0!</v>
      </c>
      <c r="O22" s="117"/>
    </row>
    <row r="23" spans="1:16" x14ac:dyDescent="0.3">
      <c r="B23" s="36" t="s">
        <v>102</v>
      </c>
      <c r="C23" s="117">
        <f>C21/C5</f>
        <v>0.94736842105263153</v>
      </c>
      <c r="D23" s="117">
        <f t="shared" ref="D23:N23" si="6">D21/D5</f>
        <v>1</v>
      </c>
      <c r="E23" s="117">
        <f t="shared" si="6"/>
        <v>0.61904761904761907</v>
      </c>
      <c r="F23" s="117">
        <f t="shared" si="6"/>
        <v>0.90909090909090906</v>
      </c>
      <c r="G23" s="117">
        <f t="shared" si="6"/>
        <v>1</v>
      </c>
      <c r="H23" s="117">
        <f t="shared" si="6"/>
        <v>0.72727272727272729</v>
      </c>
      <c r="I23" s="117">
        <f t="shared" si="6"/>
        <v>0.5714285714285714</v>
      </c>
      <c r="J23" s="117">
        <f t="shared" si="6"/>
        <v>0.63157894736842102</v>
      </c>
      <c r="K23" s="117" t="e">
        <f t="shared" si="6"/>
        <v>#DIV/0!</v>
      </c>
      <c r="L23" s="117" t="e">
        <f t="shared" si="6"/>
        <v>#DIV/0!</v>
      </c>
      <c r="M23" s="117" t="e">
        <f t="shared" si="6"/>
        <v>#DIV/0!</v>
      </c>
      <c r="N23" s="117" t="e">
        <f t="shared" si="6"/>
        <v>#DIV/0!</v>
      </c>
      <c r="O23" s="117"/>
    </row>
  </sheetData>
  <sortState xmlns:xlrd2="http://schemas.microsoft.com/office/spreadsheetml/2017/richdata2" ref="A4:O15">
    <sortCondition ref="B4:B15" customList="MARUTI SUZUKI INDIA LTD,HYUNDAI MOTOR INDIA LTD,TATA MOTORS PASSENGER VEHICLES LTD,KIA MOTORS INDIA PVT LTD,TOYOTA KIRLOSKAR MOTOR PVT LTD,MAHINDRA &amp; MAHINDRA LIMITED,HONDA CARS INDIA LTD,NISSAN MOTOR INDIA PVT LTD,SKODA AUTO VOLKSWAGEN INDIA PVT LTD,TATA PASSENGER ELECTRIC MOBILITY LTD,RENAULT INDIA PVT LTD,MG MOTOR INDIA PVT LTD"/>
  </sortState>
  <mergeCells count="8">
    <mergeCell ref="A17:B17"/>
    <mergeCell ref="C2:N2"/>
    <mergeCell ref="P2:P3"/>
    <mergeCell ref="A1:O1"/>
    <mergeCell ref="A2:A3"/>
    <mergeCell ref="B2:B3"/>
    <mergeCell ref="O2:O3"/>
    <mergeCell ref="A16:B16"/>
  </mergeCells>
  <printOptions gridLines="1"/>
  <pageMargins left="0.7" right="0.7" top="0.75" bottom="0.75" header="0.3" footer="0.3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C76D-B440-4AA7-8730-F56569BDDD75}">
  <dimension ref="A1:P23"/>
  <sheetViews>
    <sheetView workbookViewId="0">
      <selection activeCell="J22" sqref="J22"/>
    </sheetView>
  </sheetViews>
  <sheetFormatPr defaultRowHeight="13.2" x14ac:dyDescent="0.3"/>
  <cols>
    <col min="1" max="1" width="5.44140625" style="36" bestFit="1" customWidth="1"/>
    <col min="2" max="2" width="44.44140625" style="36" bestFit="1" customWidth="1"/>
    <col min="3" max="4" width="5" style="36" bestFit="1" customWidth="1"/>
    <col min="5" max="5" width="5.6640625" style="36" bestFit="1" customWidth="1"/>
    <col min="6" max="6" width="5" style="36" bestFit="1" customWidth="1"/>
    <col min="7" max="7" width="5.5546875" style="36" bestFit="1" customWidth="1"/>
    <col min="8" max="8" width="5.109375" style="36" bestFit="1" customWidth="1"/>
    <col min="9" max="9" width="5" style="36" bestFit="1" customWidth="1"/>
    <col min="10" max="10" width="5.21875" style="36" bestFit="1" customWidth="1"/>
    <col min="11" max="14" width="8.33203125" style="36" bestFit="1" customWidth="1"/>
    <col min="15" max="15" width="14.5546875" style="36" bestFit="1" customWidth="1"/>
    <col min="16" max="16" width="6" style="36" bestFit="1" customWidth="1"/>
    <col min="17" max="16384" width="8.88671875" style="36"/>
  </cols>
  <sheetData>
    <row r="1" spans="1:16" x14ac:dyDescent="0.3">
      <c r="A1" s="159" t="s">
        <v>55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39"/>
    </row>
    <row r="2" spans="1:16" x14ac:dyDescent="0.3">
      <c r="A2" s="159" t="s">
        <v>52</v>
      </c>
      <c r="B2" s="159" t="s">
        <v>51</v>
      </c>
      <c r="C2" s="159" t="s">
        <v>50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 t="s">
        <v>49</v>
      </c>
      <c r="P2" s="160" t="s">
        <v>22</v>
      </c>
    </row>
    <row r="3" spans="1:16" x14ac:dyDescent="0.3">
      <c r="A3" s="159"/>
      <c r="B3" s="159"/>
      <c r="C3" s="39" t="s">
        <v>29</v>
      </c>
      <c r="D3" s="39" t="s">
        <v>17</v>
      </c>
      <c r="E3" s="39" t="s">
        <v>30</v>
      </c>
      <c r="F3" s="39" t="s">
        <v>14</v>
      </c>
      <c r="G3" s="39" t="s">
        <v>20</v>
      </c>
      <c r="H3" s="39" t="s">
        <v>21</v>
      </c>
      <c r="I3" s="39" t="s">
        <v>31</v>
      </c>
      <c r="J3" s="39" t="s">
        <v>32</v>
      </c>
      <c r="K3" s="39" t="s">
        <v>33</v>
      </c>
      <c r="L3" s="39" t="s">
        <v>34</v>
      </c>
      <c r="M3" s="39" t="s">
        <v>35</v>
      </c>
      <c r="N3" s="39" t="s">
        <v>36</v>
      </c>
      <c r="O3" s="159"/>
      <c r="P3" s="160"/>
    </row>
    <row r="4" spans="1:16" x14ac:dyDescent="0.3">
      <c r="A4" s="37">
        <v>1</v>
      </c>
      <c r="B4" s="37" t="s">
        <v>44</v>
      </c>
      <c r="C4" s="37">
        <v>141</v>
      </c>
      <c r="D4" s="37">
        <v>94</v>
      </c>
      <c r="E4" s="37">
        <v>173</v>
      </c>
      <c r="F4" s="37">
        <v>41</v>
      </c>
      <c r="G4" s="37">
        <v>102</v>
      </c>
      <c r="H4" s="37">
        <v>117</v>
      </c>
      <c r="I4" s="37">
        <v>82</v>
      </c>
      <c r="J4" s="37">
        <v>116</v>
      </c>
      <c r="K4" s="37"/>
      <c r="L4" s="37"/>
      <c r="M4" s="37"/>
      <c r="N4" s="37"/>
      <c r="O4" s="37">
        <f>SUM(C4:N4)</f>
        <v>866</v>
      </c>
      <c r="P4" s="38">
        <f>O4/$O$17</f>
        <v>0.63770250368188508</v>
      </c>
    </row>
    <row r="5" spans="1:16" x14ac:dyDescent="0.3">
      <c r="A5" s="118">
        <v>2</v>
      </c>
      <c r="B5" s="118" t="s">
        <v>47</v>
      </c>
      <c r="C5" s="118">
        <v>8</v>
      </c>
      <c r="D5" s="118">
        <v>5</v>
      </c>
      <c r="E5" s="118">
        <v>23</v>
      </c>
      <c r="F5" s="118">
        <v>5</v>
      </c>
      <c r="G5" s="118">
        <v>17</v>
      </c>
      <c r="H5" s="118">
        <v>15</v>
      </c>
      <c r="I5" s="118">
        <v>9</v>
      </c>
      <c r="J5" s="118">
        <v>21</v>
      </c>
      <c r="K5" s="118"/>
      <c r="L5" s="118"/>
      <c r="M5" s="118"/>
      <c r="N5" s="118"/>
      <c r="O5" s="118">
        <f>SUM(C5:N5)</f>
        <v>103</v>
      </c>
      <c r="P5" s="119">
        <f>O5/$O$17</f>
        <v>7.5846833578792336E-2</v>
      </c>
    </row>
    <row r="6" spans="1:16" x14ac:dyDescent="0.3">
      <c r="A6" s="37">
        <v>3</v>
      </c>
      <c r="B6" s="37" t="s">
        <v>39</v>
      </c>
      <c r="C6" s="37">
        <v>11</v>
      </c>
      <c r="D6" s="37">
        <v>11</v>
      </c>
      <c r="E6" s="37">
        <v>25</v>
      </c>
      <c r="F6" s="37">
        <v>16</v>
      </c>
      <c r="G6" s="37">
        <v>5</v>
      </c>
      <c r="H6" s="37">
        <v>10</v>
      </c>
      <c r="I6" s="37">
        <v>8</v>
      </c>
      <c r="J6" s="37">
        <v>12</v>
      </c>
      <c r="K6" s="37"/>
      <c r="L6" s="37"/>
      <c r="M6" s="37"/>
      <c r="N6" s="37"/>
      <c r="O6" s="37">
        <f>SUM(C6:N6)</f>
        <v>98</v>
      </c>
      <c r="P6" s="38">
        <f>O6/$O$17</f>
        <v>7.2164948453608241E-2</v>
      </c>
    </row>
    <row r="7" spans="1:16" x14ac:dyDescent="0.3">
      <c r="A7" s="37">
        <v>4</v>
      </c>
      <c r="B7" s="37" t="s">
        <v>46</v>
      </c>
      <c r="C7" s="37">
        <v>5</v>
      </c>
      <c r="D7" s="37">
        <v>4</v>
      </c>
      <c r="E7" s="37">
        <v>12</v>
      </c>
      <c r="F7" s="37">
        <v>6</v>
      </c>
      <c r="G7" s="37">
        <v>8</v>
      </c>
      <c r="H7" s="37">
        <v>4</v>
      </c>
      <c r="I7" s="37">
        <v>9</v>
      </c>
      <c r="J7" s="37">
        <v>11</v>
      </c>
      <c r="K7" s="37"/>
      <c r="L7" s="37"/>
      <c r="M7" s="37"/>
      <c r="N7" s="37"/>
      <c r="O7" s="37">
        <f t="shared" ref="O7:O16" si="0">SUM(C7:N7)</f>
        <v>59</v>
      </c>
      <c r="P7" s="38">
        <f t="shared" ref="P7:P16" si="1">O7/$O$17</f>
        <v>4.3446244477172311E-2</v>
      </c>
    </row>
    <row r="8" spans="1:16" x14ac:dyDescent="0.3">
      <c r="A8" s="37">
        <v>5</v>
      </c>
      <c r="B8" s="37" t="s">
        <v>37</v>
      </c>
      <c r="C8" s="37">
        <v>9</v>
      </c>
      <c r="D8" s="37">
        <v>8</v>
      </c>
      <c r="E8" s="37">
        <v>7</v>
      </c>
      <c r="F8" s="37">
        <v>2</v>
      </c>
      <c r="G8" s="37">
        <v>12</v>
      </c>
      <c r="H8" s="37">
        <v>6</v>
      </c>
      <c r="I8" s="37">
        <v>10</v>
      </c>
      <c r="J8" s="37">
        <v>7</v>
      </c>
      <c r="K8" s="37"/>
      <c r="L8" s="37"/>
      <c r="M8" s="37"/>
      <c r="N8" s="37"/>
      <c r="O8" s="37">
        <f t="shared" si="0"/>
        <v>61</v>
      </c>
      <c r="P8" s="38">
        <f t="shared" si="1"/>
        <v>4.491899852724595E-2</v>
      </c>
    </row>
    <row r="9" spans="1:16" x14ac:dyDescent="0.3">
      <c r="A9" s="37">
        <v>6</v>
      </c>
      <c r="B9" s="37" t="s">
        <v>45</v>
      </c>
      <c r="C9" s="37">
        <v>5</v>
      </c>
      <c r="D9" s="37">
        <v>3</v>
      </c>
      <c r="E9" s="37">
        <v>4</v>
      </c>
      <c r="F9" s="37">
        <v>3</v>
      </c>
      <c r="G9" s="37">
        <v>7</v>
      </c>
      <c r="H9" s="37">
        <v>6</v>
      </c>
      <c r="I9" s="37">
        <v>4</v>
      </c>
      <c r="J9" s="37">
        <v>6</v>
      </c>
      <c r="K9" s="37"/>
      <c r="L9" s="37"/>
      <c r="M9" s="37"/>
      <c r="N9" s="37"/>
      <c r="O9" s="37">
        <f t="shared" si="0"/>
        <v>38</v>
      </c>
      <c r="P9" s="38">
        <f t="shared" si="1"/>
        <v>2.7982326951399118E-2</v>
      </c>
    </row>
    <row r="10" spans="1:16" x14ac:dyDescent="0.3">
      <c r="A10" s="37">
        <v>7</v>
      </c>
      <c r="B10" s="37" t="s">
        <v>48</v>
      </c>
      <c r="C10" s="37">
        <v>2</v>
      </c>
      <c r="D10" s="37">
        <v>3</v>
      </c>
      <c r="E10" s="37">
        <v>1</v>
      </c>
      <c r="F10" s="37">
        <v>2</v>
      </c>
      <c r="G10" s="37">
        <v>4</v>
      </c>
      <c r="H10" s="37">
        <v>4</v>
      </c>
      <c r="I10" s="37">
        <v>4</v>
      </c>
      <c r="J10" s="37">
        <v>3</v>
      </c>
      <c r="K10" s="37"/>
      <c r="L10" s="37"/>
      <c r="M10" s="37"/>
      <c r="N10" s="37"/>
      <c r="O10" s="37">
        <f t="shared" si="0"/>
        <v>23</v>
      </c>
      <c r="P10" s="38">
        <f t="shared" si="1"/>
        <v>1.6936671575846832E-2</v>
      </c>
    </row>
    <row r="11" spans="1:16" x14ac:dyDescent="0.3">
      <c r="A11" s="37">
        <v>8</v>
      </c>
      <c r="B11" s="37" t="s">
        <v>42</v>
      </c>
      <c r="C11" s="37">
        <v>2</v>
      </c>
      <c r="D11" s="37">
        <v>4</v>
      </c>
      <c r="E11" s="37">
        <v>2</v>
      </c>
      <c r="F11" s="37">
        <v>3</v>
      </c>
      <c r="G11" s="37">
        <v>2</v>
      </c>
      <c r="H11" s="37">
        <v>4</v>
      </c>
      <c r="I11" s="37">
        <v>6</v>
      </c>
      <c r="J11" s="37">
        <v>4</v>
      </c>
      <c r="K11" s="37"/>
      <c r="L11" s="37"/>
      <c r="M11" s="37"/>
      <c r="N11" s="37"/>
      <c r="O11" s="37">
        <f t="shared" si="0"/>
        <v>27</v>
      </c>
      <c r="P11" s="38">
        <f t="shared" si="1"/>
        <v>1.9882179675994108E-2</v>
      </c>
    </row>
    <row r="12" spans="1:16" x14ac:dyDescent="0.3">
      <c r="A12" s="37">
        <v>9</v>
      </c>
      <c r="B12" s="37" t="s">
        <v>40</v>
      </c>
      <c r="C12" s="37">
        <v>2</v>
      </c>
      <c r="D12" s="37">
        <v>1</v>
      </c>
      <c r="E12" s="37">
        <v>1</v>
      </c>
      <c r="F12" s="37">
        <v>1</v>
      </c>
      <c r="G12" s="37">
        <v>4</v>
      </c>
      <c r="H12" s="37">
        <v>2</v>
      </c>
      <c r="I12" s="37">
        <v>2</v>
      </c>
      <c r="J12" s="37">
        <v>1</v>
      </c>
      <c r="K12" s="37"/>
      <c r="L12" s="37"/>
      <c r="M12" s="37"/>
      <c r="N12" s="37"/>
      <c r="O12" s="37">
        <f t="shared" si="0"/>
        <v>14</v>
      </c>
      <c r="P12" s="38">
        <f t="shared" si="1"/>
        <v>1.0309278350515464E-2</v>
      </c>
    </row>
    <row r="13" spans="1:16" x14ac:dyDescent="0.3">
      <c r="A13" s="37">
        <v>10</v>
      </c>
      <c r="B13" s="37" t="s">
        <v>38</v>
      </c>
      <c r="C13" s="37">
        <v>0</v>
      </c>
      <c r="D13" s="37">
        <v>0</v>
      </c>
      <c r="E13" s="37">
        <v>0</v>
      </c>
      <c r="F13" s="37">
        <v>0</v>
      </c>
      <c r="G13" s="37">
        <v>4</v>
      </c>
      <c r="H13" s="37">
        <v>6</v>
      </c>
      <c r="I13" s="37">
        <v>3</v>
      </c>
      <c r="J13" s="37">
        <v>7</v>
      </c>
      <c r="K13" s="37"/>
      <c r="L13" s="37"/>
      <c r="M13" s="37"/>
      <c r="N13" s="37"/>
      <c r="O13" s="37">
        <f t="shared" si="0"/>
        <v>20</v>
      </c>
      <c r="P13" s="38">
        <f t="shared" si="1"/>
        <v>1.4727540500736377E-2</v>
      </c>
    </row>
    <row r="14" spans="1:16" x14ac:dyDescent="0.3">
      <c r="A14" s="37">
        <v>11</v>
      </c>
      <c r="B14" s="37" t="s">
        <v>41</v>
      </c>
      <c r="C14" s="37">
        <v>5</v>
      </c>
      <c r="D14" s="37">
        <v>3</v>
      </c>
      <c r="E14" s="37">
        <v>3</v>
      </c>
      <c r="F14" s="37">
        <v>1</v>
      </c>
      <c r="G14" s="37">
        <v>4</v>
      </c>
      <c r="H14" s="37">
        <v>7</v>
      </c>
      <c r="I14" s="37">
        <v>8</v>
      </c>
      <c r="J14" s="37">
        <v>5</v>
      </c>
      <c r="K14" s="37"/>
      <c r="L14" s="37"/>
      <c r="M14" s="37"/>
      <c r="N14" s="37"/>
      <c r="O14" s="37">
        <f t="shared" si="0"/>
        <v>36</v>
      </c>
      <c r="P14" s="38">
        <f t="shared" si="1"/>
        <v>2.6509572901325478E-2</v>
      </c>
    </row>
    <row r="15" spans="1:16" x14ac:dyDescent="0.3">
      <c r="A15" s="37">
        <v>12</v>
      </c>
      <c r="B15" s="37" t="s">
        <v>43</v>
      </c>
      <c r="C15" s="37">
        <v>2</v>
      </c>
      <c r="D15" s="37">
        <v>0</v>
      </c>
      <c r="E15" s="37">
        <v>1</v>
      </c>
      <c r="F15" s="37">
        <v>1</v>
      </c>
      <c r="G15" s="37">
        <v>1</v>
      </c>
      <c r="H15" s="37">
        <v>3</v>
      </c>
      <c r="I15" s="37">
        <v>1</v>
      </c>
      <c r="J15" s="37">
        <v>4</v>
      </c>
      <c r="K15" s="37"/>
      <c r="L15" s="37"/>
      <c r="M15" s="37"/>
      <c r="N15" s="37"/>
      <c r="O15" s="37">
        <f t="shared" si="0"/>
        <v>13</v>
      </c>
      <c r="P15" s="38">
        <f t="shared" si="1"/>
        <v>9.5729013254786458E-3</v>
      </c>
    </row>
    <row r="16" spans="1:16" x14ac:dyDescent="0.3">
      <c r="A16" s="161" t="s">
        <v>25</v>
      </c>
      <c r="B16" s="162"/>
      <c r="C16" s="37">
        <v>5</v>
      </c>
      <c r="D16" s="37">
        <v>2</v>
      </c>
      <c r="E16" s="37">
        <v>3</v>
      </c>
      <c r="F16" s="37">
        <v>4</v>
      </c>
      <c r="G16" s="37">
        <v>0</v>
      </c>
      <c r="H16" s="37">
        <v>2</v>
      </c>
      <c r="I16" s="37">
        <v>2</v>
      </c>
      <c r="J16" s="37">
        <v>2</v>
      </c>
      <c r="K16" s="37"/>
      <c r="L16" s="37"/>
      <c r="M16" s="37"/>
      <c r="N16" s="37"/>
      <c r="O16" s="37">
        <f t="shared" si="0"/>
        <v>20</v>
      </c>
      <c r="P16" s="38">
        <f t="shared" si="1"/>
        <v>1.4727540500736377E-2</v>
      </c>
    </row>
    <row r="17" spans="1:16" x14ac:dyDescent="0.3">
      <c r="A17" s="158" t="s">
        <v>26</v>
      </c>
      <c r="B17" s="158"/>
      <c r="C17" s="37">
        <f t="shared" ref="C17:J17" si="2">SUM(C4:C16)</f>
        <v>197</v>
      </c>
      <c r="D17" s="37">
        <f t="shared" si="2"/>
        <v>138</v>
      </c>
      <c r="E17" s="37">
        <f t="shared" si="2"/>
        <v>255</v>
      </c>
      <c r="F17" s="37">
        <f t="shared" si="2"/>
        <v>85</v>
      </c>
      <c r="G17" s="37">
        <f t="shared" si="2"/>
        <v>170</v>
      </c>
      <c r="H17" s="37">
        <f t="shared" si="2"/>
        <v>186</v>
      </c>
      <c r="I17" s="37">
        <f t="shared" si="2"/>
        <v>148</v>
      </c>
      <c r="J17" s="37">
        <f t="shared" si="2"/>
        <v>199</v>
      </c>
      <c r="K17" s="37">
        <f t="shared" ref="K17:O17" si="3">SUM(K4:K15)</f>
        <v>0</v>
      </c>
      <c r="L17" s="37">
        <f t="shared" si="3"/>
        <v>0</v>
      </c>
      <c r="M17" s="37">
        <f t="shared" si="3"/>
        <v>0</v>
      </c>
      <c r="N17" s="37">
        <f t="shared" si="3"/>
        <v>0</v>
      </c>
      <c r="O17" s="37">
        <f t="shared" si="3"/>
        <v>1358</v>
      </c>
      <c r="P17" s="38">
        <f>O17/$O$17</f>
        <v>1</v>
      </c>
    </row>
    <row r="20" spans="1:16" x14ac:dyDescent="0.3">
      <c r="B20" s="36" t="s">
        <v>99</v>
      </c>
      <c r="C20" s="36">
        <v>1</v>
      </c>
      <c r="D20" s="36">
        <v>2</v>
      </c>
      <c r="E20" s="36">
        <v>7</v>
      </c>
      <c r="F20" s="36">
        <v>2</v>
      </c>
      <c r="G20" s="36">
        <v>3</v>
      </c>
      <c r="H20" s="36">
        <v>1</v>
      </c>
      <c r="I20" s="36">
        <v>5</v>
      </c>
      <c r="J20" s="36">
        <v>8</v>
      </c>
    </row>
    <row r="21" spans="1:16" x14ac:dyDescent="0.3">
      <c r="B21" s="36" t="s">
        <v>100</v>
      </c>
      <c r="C21" s="36">
        <f>C5-C20</f>
        <v>7</v>
      </c>
      <c r="D21" s="36">
        <f t="shared" ref="D21:N21" si="4">D5-D20</f>
        <v>3</v>
      </c>
      <c r="E21" s="36">
        <f t="shared" si="4"/>
        <v>16</v>
      </c>
      <c r="F21" s="36">
        <f t="shared" si="4"/>
        <v>3</v>
      </c>
      <c r="G21" s="36">
        <f t="shared" si="4"/>
        <v>14</v>
      </c>
      <c r="H21" s="36">
        <f t="shared" si="4"/>
        <v>14</v>
      </c>
      <c r="I21" s="36">
        <f t="shared" si="4"/>
        <v>4</v>
      </c>
      <c r="J21" s="36">
        <f t="shared" si="4"/>
        <v>13</v>
      </c>
      <c r="K21" s="36">
        <f t="shared" si="4"/>
        <v>0</v>
      </c>
      <c r="L21" s="36">
        <f t="shared" si="4"/>
        <v>0</v>
      </c>
      <c r="M21" s="36">
        <f t="shared" si="4"/>
        <v>0</v>
      </c>
      <c r="N21" s="36">
        <f t="shared" si="4"/>
        <v>0</v>
      </c>
    </row>
    <row r="22" spans="1:16" x14ac:dyDescent="0.3">
      <c r="B22" s="36" t="s">
        <v>101</v>
      </c>
      <c r="C22" s="117">
        <f>C20/C5</f>
        <v>0.125</v>
      </c>
      <c r="D22" s="117">
        <f t="shared" ref="D22:N22" si="5">D20/D5</f>
        <v>0.4</v>
      </c>
      <c r="E22" s="117">
        <f t="shared" si="5"/>
        <v>0.30434782608695654</v>
      </c>
      <c r="F22" s="117">
        <f t="shared" si="5"/>
        <v>0.4</v>
      </c>
      <c r="G22" s="117">
        <f t="shared" si="5"/>
        <v>0.17647058823529413</v>
      </c>
      <c r="H22" s="117">
        <f t="shared" si="5"/>
        <v>6.6666666666666666E-2</v>
      </c>
      <c r="I22" s="117">
        <f t="shared" si="5"/>
        <v>0.55555555555555558</v>
      </c>
      <c r="J22" s="117">
        <f t="shared" si="5"/>
        <v>0.38095238095238093</v>
      </c>
      <c r="K22" s="117" t="e">
        <f t="shared" si="5"/>
        <v>#DIV/0!</v>
      </c>
      <c r="L22" s="117" t="e">
        <f t="shared" si="5"/>
        <v>#DIV/0!</v>
      </c>
      <c r="M22" s="117" t="e">
        <f t="shared" si="5"/>
        <v>#DIV/0!</v>
      </c>
      <c r="N22" s="117" t="e">
        <f t="shared" si="5"/>
        <v>#DIV/0!</v>
      </c>
      <c r="O22" s="117"/>
    </row>
    <row r="23" spans="1:16" x14ac:dyDescent="0.3">
      <c r="B23" s="36" t="s">
        <v>102</v>
      </c>
      <c r="C23" s="117">
        <f>C21/C5</f>
        <v>0.875</v>
      </c>
      <c r="D23" s="117">
        <f t="shared" ref="D23:N23" si="6">D21/D5</f>
        <v>0.6</v>
      </c>
      <c r="E23" s="117">
        <f t="shared" si="6"/>
        <v>0.69565217391304346</v>
      </c>
      <c r="F23" s="117">
        <f t="shared" si="6"/>
        <v>0.6</v>
      </c>
      <c r="G23" s="117">
        <f t="shared" si="6"/>
        <v>0.82352941176470584</v>
      </c>
      <c r="H23" s="117">
        <f t="shared" si="6"/>
        <v>0.93333333333333335</v>
      </c>
      <c r="I23" s="117">
        <f t="shared" si="6"/>
        <v>0.44444444444444442</v>
      </c>
      <c r="J23" s="117">
        <f t="shared" si="6"/>
        <v>0.61904761904761907</v>
      </c>
      <c r="K23" s="117" t="e">
        <f t="shared" si="6"/>
        <v>#DIV/0!</v>
      </c>
      <c r="L23" s="117" t="e">
        <f t="shared" si="6"/>
        <v>#DIV/0!</v>
      </c>
      <c r="M23" s="117" t="e">
        <f t="shared" si="6"/>
        <v>#DIV/0!</v>
      </c>
      <c r="N23" s="117" t="e">
        <f t="shared" si="6"/>
        <v>#DIV/0!</v>
      </c>
      <c r="O23" s="117"/>
    </row>
  </sheetData>
  <sortState xmlns:xlrd2="http://schemas.microsoft.com/office/spreadsheetml/2017/richdata2" ref="A4:O15">
    <sortCondition ref="B4:B15" customList="MARUTI SUZUKI INDIA LTD,HYUNDAI MOTOR INDIA LTD,TATA MOTORS PASSENGER VEHICLES LTD,KIA MOTORS INDIA PVT LTD,TOYOTA KIRLOSKAR MOTOR PVT LTD,MAHINDRA &amp; MAHINDRA LIMITED,HONDA CARS INDIA LTD,NISSAN MOTOR INDIA PVT LTD,SKODA AUTO VOLKSWAGEN INDIA PVT LTD,TATA PASSENGER ELECTRIC MOBILITY LTD,RENAULT INDIA PVT LTD,MG MOTOR INDIA PVT LTD"/>
  </sortState>
  <mergeCells count="8">
    <mergeCell ref="A17:B17"/>
    <mergeCell ref="C2:N2"/>
    <mergeCell ref="P2:P3"/>
    <mergeCell ref="A1:O1"/>
    <mergeCell ref="A2:A3"/>
    <mergeCell ref="B2:B3"/>
    <mergeCell ref="O2:O3"/>
    <mergeCell ref="A16:B16"/>
  </mergeCells>
  <printOptions gridLines="1"/>
  <pageMargins left="0.7" right="0.7" top="0.75" bottom="0.75" header="0.3" footer="0.3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16D2-049C-44E8-A60F-7B7276E3F9FF}">
  <dimension ref="A1:P23"/>
  <sheetViews>
    <sheetView workbookViewId="0">
      <selection activeCell="J17" sqref="J17"/>
    </sheetView>
  </sheetViews>
  <sheetFormatPr defaultRowHeight="13.2" x14ac:dyDescent="0.3"/>
  <cols>
    <col min="1" max="1" width="5.44140625" style="36" bestFit="1" customWidth="1"/>
    <col min="2" max="2" width="44.44140625" style="36" bestFit="1" customWidth="1"/>
    <col min="3" max="3" width="6" style="36" bestFit="1" customWidth="1"/>
    <col min="4" max="4" width="5" style="36" bestFit="1" customWidth="1"/>
    <col min="5" max="5" width="5.6640625" style="36" bestFit="1" customWidth="1"/>
    <col min="6" max="6" width="6" style="36" bestFit="1" customWidth="1"/>
    <col min="7" max="7" width="5.5546875" style="36" bestFit="1" customWidth="1"/>
    <col min="8" max="8" width="5.109375" style="36" bestFit="1" customWidth="1"/>
    <col min="9" max="9" width="5" style="36" bestFit="1" customWidth="1"/>
    <col min="10" max="10" width="5.21875" style="36" bestFit="1" customWidth="1"/>
    <col min="11" max="14" width="8.33203125" style="36" bestFit="1" customWidth="1"/>
    <col min="15" max="15" width="14.5546875" style="36" bestFit="1" customWidth="1"/>
    <col min="16" max="16" width="6" style="36" bestFit="1" customWidth="1"/>
    <col min="17" max="16384" width="8.88671875" style="36"/>
  </cols>
  <sheetData>
    <row r="1" spans="1:16" x14ac:dyDescent="0.3">
      <c r="A1" s="159" t="s">
        <v>56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39"/>
    </row>
    <row r="2" spans="1:16" x14ac:dyDescent="0.3">
      <c r="A2" s="159" t="s">
        <v>52</v>
      </c>
      <c r="B2" s="159" t="s">
        <v>51</v>
      </c>
      <c r="C2" s="159" t="s">
        <v>50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 t="s">
        <v>49</v>
      </c>
      <c r="P2" s="160" t="s">
        <v>22</v>
      </c>
    </row>
    <row r="3" spans="1:16" x14ac:dyDescent="0.3">
      <c r="A3" s="159"/>
      <c r="B3" s="159"/>
      <c r="C3" s="39" t="s">
        <v>29</v>
      </c>
      <c r="D3" s="39" t="s">
        <v>17</v>
      </c>
      <c r="E3" s="39" t="s">
        <v>30</v>
      </c>
      <c r="F3" s="39" t="s">
        <v>14</v>
      </c>
      <c r="G3" s="39" t="s">
        <v>20</v>
      </c>
      <c r="H3" s="39" t="s">
        <v>21</v>
      </c>
      <c r="I3" s="39" t="s">
        <v>31</v>
      </c>
      <c r="J3" s="39" t="s">
        <v>32</v>
      </c>
      <c r="K3" s="39" t="s">
        <v>33</v>
      </c>
      <c r="L3" s="39" t="s">
        <v>34</v>
      </c>
      <c r="M3" s="39" t="s">
        <v>35</v>
      </c>
      <c r="N3" s="39" t="s">
        <v>36</v>
      </c>
      <c r="O3" s="159"/>
      <c r="P3" s="160"/>
    </row>
    <row r="4" spans="1:16" x14ac:dyDescent="0.3">
      <c r="A4" s="37">
        <v>1</v>
      </c>
      <c r="B4" s="37" t="s">
        <v>44</v>
      </c>
      <c r="C4" s="37">
        <v>128</v>
      </c>
      <c r="D4" s="37">
        <v>100</v>
      </c>
      <c r="E4" s="37">
        <v>151</v>
      </c>
      <c r="F4" s="37">
        <v>52</v>
      </c>
      <c r="G4" s="37">
        <v>93</v>
      </c>
      <c r="H4" s="37">
        <v>111</v>
      </c>
      <c r="I4" s="37">
        <v>126</v>
      </c>
      <c r="J4" s="37">
        <v>118</v>
      </c>
      <c r="K4" s="37"/>
      <c r="L4" s="37"/>
      <c r="M4" s="37"/>
      <c r="N4" s="37"/>
      <c r="O4" s="37">
        <f>SUM(C4:N4)</f>
        <v>879</v>
      </c>
      <c r="P4" s="38">
        <f t="shared" ref="P4:P16" si="0">O4/$O$17</f>
        <v>0.59755268524813054</v>
      </c>
    </row>
    <row r="5" spans="1:16" x14ac:dyDescent="0.3">
      <c r="A5" s="118">
        <v>2</v>
      </c>
      <c r="B5" s="118" t="s">
        <v>47</v>
      </c>
      <c r="C5" s="118">
        <v>9</v>
      </c>
      <c r="D5" s="118">
        <v>15</v>
      </c>
      <c r="E5" s="118">
        <v>22</v>
      </c>
      <c r="F5" s="118">
        <v>10</v>
      </c>
      <c r="G5" s="118">
        <v>11</v>
      </c>
      <c r="H5" s="118">
        <v>16</v>
      </c>
      <c r="I5" s="118">
        <v>20</v>
      </c>
      <c r="J5" s="118">
        <v>12</v>
      </c>
      <c r="K5" s="118"/>
      <c r="L5" s="118"/>
      <c r="M5" s="118"/>
      <c r="N5" s="118"/>
      <c r="O5" s="118">
        <f>SUM(C5:N5)</f>
        <v>115</v>
      </c>
      <c r="P5" s="119">
        <f t="shared" si="0"/>
        <v>7.8178110129163828E-2</v>
      </c>
    </row>
    <row r="6" spans="1:16" x14ac:dyDescent="0.3">
      <c r="A6" s="37">
        <v>3</v>
      </c>
      <c r="B6" s="37" t="s">
        <v>39</v>
      </c>
      <c r="C6" s="37">
        <v>26</v>
      </c>
      <c r="D6" s="37">
        <v>19</v>
      </c>
      <c r="E6" s="37">
        <v>25</v>
      </c>
      <c r="F6" s="37">
        <v>13</v>
      </c>
      <c r="G6" s="37">
        <v>4</v>
      </c>
      <c r="H6" s="37">
        <v>9</v>
      </c>
      <c r="I6" s="37">
        <v>8</v>
      </c>
      <c r="J6" s="37">
        <v>7</v>
      </c>
      <c r="K6" s="37"/>
      <c r="L6" s="37"/>
      <c r="M6" s="37"/>
      <c r="N6" s="37"/>
      <c r="O6" s="37">
        <f>SUM(C6:N6)</f>
        <v>111</v>
      </c>
      <c r="P6" s="38">
        <f t="shared" si="0"/>
        <v>7.5458871515975523E-2</v>
      </c>
    </row>
    <row r="7" spans="1:16" x14ac:dyDescent="0.3">
      <c r="A7" s="37">
        <v>4</v>
      </c>
      <c r="B7" s="37" t="s">
        <v>46</v>
      </c>
      <c r="C7" s="37">
        <v>9</v>
      </c>
      <c r="D7" s="37">
        <v>12</v>
      </c>
      <c r="E7" s="37">
        <v>18</v>
      </c>
      <c r="F7" s="37">
        <v>6</v>
      </c>
      <c r="G7" s="37">
        <v>9</v>
      </c>
      <c r="H7" s="37">
        <v>17</v>
      </c>
      <c r="I7" s="37">
        <v>9</v>
      </c>
      <c r="J7" s="37">
        <v>8</v>
      </c>
      <c r="K7" s="37"/>
      <c r="L7" s="37"/>
      <c r="M7" s="37"/>
      <c r="N7" s="37"/>
      <c r="O7" s="37">
        <f t="shared" ref="O7:O16" si="1">SUM(C7:N7)</f>
        <v>88</v>
      </c>
      <c r="P7" s="38">
        <f t="shared" si="0"/>
        <v>5.9823249490142762E-2</v>
      </c>
    </row>
    <row r="8" spans="1:16" x14ac:dyDescent="0.3">
      <c r="A8" s="37">
        <v>5</v>
      </c>
      <c r="B8" s="37" t="s">
        <v>37</v>
      </c>
      <c r="C8" s="37">
        <v>14</v>
      </c>
      <c r="D8" s="37">
        <v>13</v>
      </c>
      <c r="E8" s="37">
        <v>10</v>
      </c>
      <c r="F8" s="37">
        <v>7</v>
      </c>
      <c r="G8" s="37">
        <v>14</v>
      </c>
      <c r="H8" s="37">
        <v>7</v>
      </c>
      <c r="I8" s="37">
        <v>22</v>
      </c>
      <c r="J8" s="37">
        <v>7</v>
      </c>
      <c r="K8" s="37"/>
      <c r="L8" s="37"/>
      <c r="M8" s="37"/>
      <c r="N8" s="37"/>
      <c r="O8" s="37">
        <f t="shared" si="1"/>
        <v>94</v>
      </c>
      <c r="P8" s="38">
        <f t="shared" si="0"/>
        <v>6.3902107409925218E-2</v>
      </c>
    </row>
    <row r="9" spans="1:16" x14ac:dyDescent="0.3">
      <c r="A9" s="37">
        <v>6</v>
      </c>
      <c r="B9" s="37" t="s">
        <v>45</v>
      </c>
      <c r="C9" s="37">
        <v>3</v>
      </c>
      <c r="D9" s="37">
        <v>4</v>
      </c>
      <c r="E9" s="37">
        <v>8</v>
      </c>
      <c r="F9" s="37">
        <v>3</v>
      </c>
      <c r="G9" s="37">
        <v>5</v>
      </c>
      <c r="H9" s="37">
        <v>3</v>
      </c>
      <c r="I9" s="37">
        <v>4</v>
      </c>
      <c r="J9" s="37">
        <v>1</v>
      </c>
      <c r="K9" s="37"/>
      <c r="L9" s="37"/>
      <c r="M9" s="37"/>
      <c r="N9" s="37"/>
      <c r="O9" s="37">
        <f t="shared" si="1"/>
        <v>31</v>
      </c>
      <c r="P9" s="38">
        <f t="shared" si="0"/>
        <v>2.1074099252209381E-2</v>
      </c>
    </row>
    <row r="10" spans="1:16" x14ac:dyDescent="0.3">
      <c r="A10" s="37">
        <v>7</v>
      </c>
      <c r="B10" s="37" t="s">
        <v>48</v>
      </c>
      <c r="C10" s="37">
        <v>4</v>
      </c>
      <c r="D10" s="37">
        <v>3</v>
      </c>
      <c r="E10" s="37">
        <v>9</v>
      </c>
      <c r="F10" s="37">
        <v>1</v>
      </c>
      <c r="G10" s="37">
        <v>3</v>
      </c>
      <c r="H10" s="37">
        <v>2</v>
      </c>
      <c r="I10" s="37">
        <v>5</v>
      </c>
      <c r="J10" s="37">
        <v>2</v>
      </c>
      <c r="K10" s="37"/>
      <c r="L10" s="37"/>
      <c r="M10" s="37"/>
      <c r="N10" s="37"/>
      <c r="O10" s="37">
        <f t="shared" si="1"/>
        <v>29</v>
      </c>
      <c r="P10" s="38">
        <f t="shared" si="0"/>
        <v>1.9714479945615229E-2</v>
      </c>
    </row>
    <row r="11" spans="1:16" x14ac:dyDescent="0.3">
      <c r="A11" s="37">
        <v>8</v>
      </c>
      <c r="B11" s="37" t="s">
        <v>42</v>
      </c>
      <c r="C11" s="37">
        <v>7</v>
      </c>
      <c r="D11" s="37">
        <v>3</v>
      </c>
      <c r="E11" s="37">
        <v>4</v>
      </c>
      <c r="F11" s="37">
        <v>1</v>
      </c>
      <c r="G11" s="37">
        <v>6</v>
      </c>
      <c r="H11" s="37">
        <v>4</v>
      </c>
      <c r="I11" s="37">
        <v>4</v>
      </c>
      <c r="J11" s="37">
        <v>5</v>
      </c>
      <c r="K11" s="37"/>
      <c r="L11" s="37"/>
      <c r="M11" s="37"/>
      <c r="N11" s="37"/>
      <c r="O11" s="37">
        <f t="shared" si="1"/>
        <v>34</v>
      </c>
      <c r="P11" s="38">
        <f t="shared" si="0"/>
        <v>2.3113528212100613E-2</v>
      </c>
    </row>
    <row r="12" spans="1:16" x14ac:dyDescent="0.3">
      <c r="A12" s="37">
        <v>9</v>
      </c>
      <c r="B12" s="37" t="s">
        <v>40</v>
      </c>
      <c r="C12" s="37">
        <v>4</v>
      </c>
      <c r="D12" s="37">
        <v>5</v>
      </c>
      <c r="E12" s="37">
        <v>4</v>
      </c>
      <c r="F12" s="37">
        <v>1</v>
      </c>
      <c r="G12" s="37">
        <v>1</v>
      </c>
      <c r="H12" s="37">
        <v>4</v>
      </c>
      <c r="I12" s="37">
        <v>6</v>
      </c>
      <c r="J12" s="37">
        <v>5</v>
      </c>
      <c r="K12" s="37"/>
      <c r="L12" s="37"/>
      <c r="M12" s="37"/>
      <c r="N12" s="37"/>
      <c r="O12" s="37">
        <f t="shared" si="1"/>
        <v>30</v>
      </c>
      <c r="P12" s="38">
        <f t="shared" si="0"/>
        <v>2.0394289598912305E-2</v>
      </c>
    </row>
    <row r="13" spans="1:16" x14ac:dyDescent="0.3">
      <c r="A13" s="37">
        <v>10</v>
      </c>
      <c r="B13" s="37" t="s">
        <v>38</v>
      </c>
      <c r="C13" s="37">
        <v>0</v>
      </c>
      <c r="D13" s="37">
        <v>0</v>
      </c>
      <c r="E13" s="37">
        <v>0</v>
      </c>
      <c r="F13" s="37">
        <v>3</v>
      </c>
      <c r="G13" s="37">
        <v>8</v>
      </c>
      <c r="H13" s="37">
        <v>8</v>
      </c>
      <c r="I13" s="37">
        <v>8</v>
      </c>
      <c r="J13" s="37">
        <v>7</v>
      </c>
      <c r="K13" s="37"/>
      <c r="L13" s="37"/>
      <c r="M13" s="37"/>
      <c r="N13" s="37"/>
      <c r="O13" s="37">
        <f t="shared" si="1"/>
        <v>34</v>
      </c>
      <c r="P13" s="38">
        <f t="shared" si="0"/>
        <v>2.3113528212100613E-2</v>
      </c>
    </row>
    <row r="14" spans="1:16" x14ac:dyDescent="0.3">
      <c r="A14" s="37">
        <v>11</v>
      </c>
      <c r="B14" s="37" t="s">
        <v>41</v>
      </c>
      <c r="C14" s="37">
        <v>3</v>
      </c>
      <c r="D14" s="37">
        <v>0</v>
      </c>
      <c r="E14" s="37">
        <v>3</v>
      </c>
      <c r="F14" s="37">
        <v>1</v>
      </c>
      <c r="G14" s="37">
        <v>4</v>
      </c>
      <c r="H14" s="37">
        <v>0</v>
      </c>
      <c r="I14" s="37">
        <v>3</v>
      </c>
      <c r="J14" s="37">
        <v>2</v>
      </c>
      <c r="K14" s="37"/>
      <c r="L14" s="37"/>
      <c r="M14" s="37"/>
      <c r="N14" s="37"/>
      <c r="O14" s="37">
        <f t="shared" si="1"/>
        <v>16</v>
      </c>
      <c r="P14" s="38">
        <f t="shared" si="0"/>
        <v>1.0876954452753228E-2</v>
      </c>
    </row>
    <row r="15" spans="1:16" x14ac:dyDescent="0.3">
      <c r="A15" s="37">
        <v>12</v>
      </c>
      <c r="B15" s="37" t="s">
        <v>43</v>
      </c>
      <c r="C15" s="37">
        <v>0</v>
      </c>
      <c r="D15" s="37">
        <v>2</v>
      </c>
      <c r="E15" s="37">
        <v>1</v>
      </c>
      <c r="F15" s="37">
        <v>1</v>
      </c>
      <c r="G15" s="37">
        <v>2</v>
      </c>
      <c r="H15" s="37">
        <v>2</v>
      </c>
      <c r="I15" s="37">
        <v>1</v>
      </c>
      <c r="J15" s="37">
        <v>1</v>
      </c>
      <c r="K15" s="37"/>
      <c r="L15" s="37"/>
      <c r="M15" s="37"/>
      <c r="N15" s="37"/>
      <c r="O15" s="37">
        <f t="shared" si="1"/>
        <v>10</v>
      </c>
      <c r="P15" s="38">
        <f t="shared" si="0"/>
        <v>6.7980965329707682E-3</v>
      </c>
    </row>
    <row r="16" spans="1:16" x14ac:dyDescent="0.3">
      <c r="A16" s="161" t="s">
        <v>25</v>
      </c>
      <c r="B16" s="162"/>
      <c r="C16" s="37">
        <v>7</v>
      </c>
      <c r="D16" s="37">
        <v>6</v>
      </c>
      <c r="E16" s="37">
        <v>5</v>
      </c>
      <c r="F16" s="37">
        <v>3</v>
      </c>
      <c r="G16" s="37">
        <v>1</v>
      </c>
      <c r="H16" s="37">
        <v>2</v>
      </c>
      <c r="I16" s="37">
        <v>1</v>
      </c>
      <c r="J16" s="37">
        <v>3</v>
      </c>
      <c r="K16" s="37"/>
      <c r="L16" s="37"/>
      <c r="M16" s="37"/>
      <c r="N16" s="37"/>
      <c r="O16" s="37">
        <f t="shared" si="1"/>
        <v>28</v>
      </c>
      <c r="P16" s="38">
        <f t="shared" si="0"/>
        <v>1.9034670292318152E-2</v>
      </c>
    </row>
    <row r="17" spans="1:16" x14ac:dyDescent="0.3">
      <c r="A17" s="158" t="s">
        <v>26</v>
      </c>
      <c r="B17" s="158"/>
      <c r="C17" s="37">
        <f t="shared" ref="C17:J17" si="2">SUM(C4:C16)</f>
        <v>214</v>
      </c>
      <c r="D17" s="37">
        <f t="shared" si="2"/>
        <v>182</v>
      </c>
      <c r="E17" s="37">
        <f t="shared" si="2"/>
        <v>260</v>
      </c>
      <c r="F17" s="37">
        <f t="shared" si="2"/>
        <v>102</v>
      </c>
      <c r="G17" s="37">
        <f t="shared" si="2"/>
        <v>161</v>
      </c>
      <c r="H17" s="37">
        <f t="shared" si="2"/>
        <v>185</v>
      </c>
      <c r="I17" s="37">
        <f t="shared" si="2"/>
        <v>217</v>
      </c>
      <c r="J17" s="37">
        <f t="shared" si="2"/>
        <v>178</v>
      </c>
      <c r="K17" s="37">
        <f t="shared" ref="K17:O17" si="3">SUM(K4:K15)</f>
        <v>0</v>
      </c>
      <c r="L17" s="37">
        <f t="shared" si="3"/>
        <v>0</v>
      </c>
      <c r="M17" s="37">
        <f t="shared" si="3"/>
        <v>0</v>
      </c>
      <c r="N17" s="37">
        <f t="shared" si="3"/>
        <v>0</v>
      </c>
      <c r="O17" s="37">
        <f t="shared" si="3"/>
        <v>1471</v>
      </c>
      <c r="P17" s="38">
        <f>O17/$O$17</f>
        <v>1</v>
      </c>
    </row>
    <row r="20" spans="1:16" x14ac:dyDescent="0.3">
      <c r="B20" s="36" t="s">
        <v>99</v>
      </c>
      <c r="C20" s="36">
        <v>0</v>
      </c>
      <c r="D20" s="36">
        <v>1</v>
      </c>
      <c r="E20" s="36">
        <v>4</v>
      </c>
      <c r="F20" s="36">
        <v>0</v>
      </c>
      <c r="G20" s="36">
        <v>1</v>
      </c>
      <c r="H20" s="36">
        <v>3</v>
      </c>
      <c r="I20" s="36">
        <v>3</v>
      </c>
      <c r="J20" s="36">
        <v>1</v>
      </c>
    </row>
    <row r="21" spans="1:16" x14ac:dyDescent="0.3">
      <c r="B21" s="36" t="s">
        <v>100</v>
      </c>
      <c r="C21" s="36">
        <f>C5-C20</f>
        <v>9</v>
      </c>
      <c r="D21" s="36">
        <f t="shared" ref="D21:N21" si="4">D5-D20</f>
        <v>14</v>
      </c>
      <c r="E21" s="36">
        <f t="shared" si="4"/>
        <v>18</v>
      </c>
      <c r="F21" s="36">
        <f t="shared" si="4"/>
        <v>10</v>
      </c>
      <c r="G21" s="36">
        <f t="shared" si="4"/>
        <v>10</v>
      </c>
      <c r="H21" s="36">
        <f t="shared" si="4"/>
        <v>13</v>
      </c>
      <c r="I21" s="36">
        <f t="shared" si="4"/>
        <v>17</v>
      </c>
      <c r="J21" s="36">
        <f t="shared" si="4"/>
        <v>11</v>
      </c>
      <c r="K21" s="36">
        <f t="shared" si="4"/>
        <v>0</v>
      </c>
      <c r="L21" s="36">
        <f t="shared" si="4"/>
        <v>0</v>
      </c>
      <c r="M21" s="36">
        <f t="shared" si="4"/>
        <v>0</v>
      </c>
      <c r="N21" s="36">
        <f t="shared" si="4"/>
        <v>0</v>
      </c>
    </row>
    <row r="22" spans="1:16" x14ac:dyDescent="0.3">
      <c r="B22" s="36" t="s">
        <v>101</v>
      </c>
      <c r="C22" s="117">
        <f>C20/C5</f>
        <v>0</v>
      </c>
      <c r="D22" s="117">
        <f t="shared" ref="D22:N22" si="5">D20/D5</f>
        <v>6.6666666666666666E-2</v>
      </c>
      <c r="E22" s="117">
        <f t="shared" si="5"/>
        <v>0.18181818181818182</v>
      </c>
      <c r="F22" s="117">
        <f t="shared" si="5"/>
        <v>0</v>
      </c>
      <c r="G22" s="117">
        <f t="shared" si="5"/>
        <v>9.0909090909090912E-2</v>
      </c>
      <c r="H22" s="117">
        <f t="shared" si="5"/>
        <v>0.1875</v>
      </c>
      <c r="I22" s="117">
        <f t="shared" si="5"/>
        <v>0.15</v>
      </c>
      <c r="J22" s="117">
        <f t="shared" si="5"/>
        <v>8.3333333333333329E-2</v>
      </c>
      <c r="K22" s="117" t="e">
        <f t="shared" si="5"/>
        <v>#DIV/0!</v>
      </c>
      <c r="L22" s="117" t="e">
        <f t="shared" si="5"/>
        <v>#DIV/0!</v>
      </c>
      <c r="M22" s="117" t="e">
        <f t="shared" si="5"/>
        <v>#DIV/0!</v>
      </c>
      <c r="N22" s="117" t="e">
        <f t="shared" si="5"/>
        <v>#DIV/0!</v>
      </c>
      <c r="O22" s="117"/>
    </row>
    <row r="23" spans="1:16" x14ac:dyDescent="0.3">
      <c r="B23" s="36" t="s">
        <v>102</v>
      </c>
      <c r="C23" s="117">
        <f>C21/C5</f>
        <v>1</v>
      </c>
      <c r="D23" s="117">
        <f t="shared" ref="D23:N23" si="6">D21/D5</f>
        <v>0.93333333333333335</v>
      </c>
      <c r="E23" s="117">
        <f t="shared" si="6"/>
        <v>0.81818181818181823</v>
      </c>
      <c r="F23" s="117">
        <f t="shared" si="6"/>
        <v>1</v>
      </c>
      <c r="G23" s="117">
        <f t="shared" si="6"/>
        <v>0.90909090909090906</v>
      </c>
      <c r="H23" s="117">
        <f t="shared" si="6"/>
        <v>0.8125</v>
      </c>
      <c r="I23" s="117">
        <f t="shared" si="6"/>
        <v>0.85</v>
      </c>
      <c r="J23" s="117">
        <f t="shared" si="6"/>
        <v>0.91666666666666663</v>
      </c>
      <c r="K23" s="117" t="e">
        <f t="shared" si="6"/>
        <v>#DIV/0!</v>
      </c>
      <c r="L23" s="117" t="e">
        <f t="shared" si="6"/>
        <v>#DIV/0!</v>
      </c>
      <c r="M23" s="117" t="e">
        <f t="shared" si="6"/>
        <v>#DIV/0!</v>
      </c>
      <c r="N23" s="117" t="e">
        <f t="shared" si="6"/>
        <v>#DIV/0!</v>
      </c>
      <c r="O23" s="117"/>
    </row>
  </sheetData>
  <sortState xmlns:xlrd2="http://schemas.microsoft.com/office/spreadsheetml/2017/richdata2" ref="A4:O15">
    <sortCondition ref="B4:B15" customList="MARUTI SUZUKI INDIA LTD,HYUNDAI MOTOR INDIA LTD,TATA MOTORS PASSENGER VEHICLES LTD,KIA MOTORS INDIA PVT LTD,TOYOTA KIRLOSKAR MOTOR PVT LTD,MAHINDRA &amp; MAHINDRA LIMITED,HONDA CARS INDIA LTD,NISSAN MOTOR INDIA PVT LTD,SKODA AUTO VOLKSWAGEN INDIA PVT LTD,TATA PASSENGER ELECTRIC MOBILITY LTD,RENAULT INDIA PVT LTD,MG MOTOR INDIA PVT LTD"/>
  </sortState>
  <mergeCells count="8">
    <mergeCell ref="A17:B17"/>
    <mergeCell ref="C2:N2"/>
    <mergeCell ref="P2:P3"/>
    <mergeCell ref="A1:O1"/>
    <mergeCell ref="A2:A3"/>
    <mergeCell ref="B2:B3"/>
    <mergeCell ref="O2:O3"/>
    <mergeCell ref="A16:B16"/>
  </mergeCells>
  <printOptions gridLines="1"/>
  <pageMargins left="0.7" right="0.7" top="0.75" bottom="0.75" header="0.3" footer="0.3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BE72-00C0-4CF0-9470-7C9FAB959D4F}">
  <dimension ref="A1:P23"/>
  <sheetViews>
    <sheetView workbookViewId="0">
      <selection activeCell="J3" sqref="J3"/>
    </sheetView>
  </sheetViews>
  <sheetFormatPr defaultRowHeight="13.2" x14ac:dyDescent="0.3"/>
  <cols>
    <col min="1" max="1" width="5.44140625" style="36" bestFit="1" customWidth="1"/>
    <col min="2" max="2" width="44.44140625" style="36" bestFit="1" customWidth="1"/>
    <col min="3" max="4" width="5" style="36" bestFit="1" customWidth="1"/>
    <col min="5" max="5" width="5.6640625" style="36" bestFit="1" customWidth="1"/>
    <col min="6" max="6" width="5" style="36" bestFit="1" customWidth="1"/>
    <col min="7" max="7" width="5.5546875" style="36" bestFit="1" customWidth="1"/>
    <col min="8" max="8" width="5.109375" style="36" bestFit="1" customWidth="1"/>
    <col min="9" max="9" width="5" style="36" bestFit="1" customWidth="1"/>
    <col min="10" max="10" width="5.21875" style="36" bestFit="1" customWidth="1"/>
    <col min="11" max="14" width="8.33203125" style="36" bestFit="1" customWidth="1"/>
    <col min="15" max="15" width="14.5546875" style="36" bestFit="1" customWidth="1"/>
    <col min="16" max="16" width="6" style="36" bestFit="1" customWidth="1"/>
    <col min="17" max="16384" width="8.88671875" style="36"/>
  </cols>
  <sheetData>
    <row r="1" spans="1:16" x14ac:dyDescent="0.3">
      <c r="A1" s="159" t="s">
        <v>58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39"/>
    </row>
    <row r="2" spans="1:16" x14ac:dyDescent="0.3">
      <c r="A2" s="159" t="s">
        <v>52</v>
      </c>
      <c r="B2" s="159" t="s">
        <v>51</v>
      </c>
      <c r="C2" s="159" t="s">
        <v>50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 t="s">
        <v>49</v>
      </c>
      <c r="P2" s="160" t="s">
        <v>22</v>
      </c>
    </row>
    <row r="3" spans="1:16" x14ac:dyDescent="0.3">
      <c r="A3" s="159"/>
      <c r="B3" s="159"/>
      <c r="C3" s="39" t="s">
        <v>29</v>
      </c>
      <c r="D3" s="39" t="s">
        <v>17</v>
      </c>
      <c r="E3" s="39" t="s">
        <v>30</v>
      </c>
      <c r="F3" s="39" t="s">
        <v>14</v>
      </c>
      <c r="G3" s="39" t="s">
        <v>20</v>
      </c>
      <c r="H3" s="39" t="s">
        <v>21</v>
      </c>
      <c r="I3" s="39" t="s">
        <v>31</v>
      </c>
      <c r="J3" s="39" t="s">
        <v>32</v>
      </c>
      <c r="K3" s="39" t="s">
        <v>33</v>
      </c>
      <c r="L3" s="39" t="s">
        <v>34</v>
      </c>
      <c r="M3" s="39" t="s">
        <v>35</v>
      </c>
      <c r="N3" s="39" t="s">
        <v>36</v>
      </c>
      <c r="O3" s="159"/>
      <c r="P3" s="160"/>
    </row>
    <row r="4" spans="1:16" x14ac:dyDescent="0.3">
      <c r="A4" s="37">
        <v>1</v>
      </c>
      <c r="B4" s="37" t="s">
        <v>44</v>
      </c>
      <c r="C4" s="37">
        <v>183</v>
      </c>
      <c r="D4" s="37">
        <v>138</v>
      </c>
      <c r="E4" s="37">
        <v>199</v>
      </c>
      <c r="F4" s="37">
        <v>98</v>
      </c>
      <c r="G4" s="37">
        <v>142</v>
      </c>
      <c r="H4" s="37">
        <v>169</v>
      </c>
      <c r="I4" s="37">
        <v>191</v>
      </c>
      <c r="J4" s="37">
        <v>221</v>
      </c>
      <c r="K4" s="37"/>
      <c r="L4" s="37"/>
      <c r="M4" s="37"/>
      <c r="N4" s="37"/>
      <c r="O4" s="37">
        <f>SUM(C4:N4)</f>
        <v>1341</v>
      </c>
      <c r="P4" s="38">
        <f t="shared" ref="P4:P16" si="0">O4/$O$17</f>
        <v>0.60899182561307907</v>
      </c>
    </row>
    <row r="5" spans="1:16" x14ac:dyDescent="0.3">
      <c r="A5" s="118">
        <v>2</v>
      </c>
      <c r="B5" s="118" t="s">
        <v>47</v>
      </c>
      <c r="C5" s="118">
        <v>25</v>
      </c>
      <c r="D5" s="118">
        <v>24</v>
      </c>
      <c r="E5" s="118">
        <v>32</v>
      </c>
      <c r="F5" s="118">
        <v>21</v>
      </c>
      <c r="G5" s="118">
        <v>17</v>
      </c>
      <c r="H5" s="118">
        <v>23</v>
      </c>
      <c r="I5" s="118">
        <v>25</v>
      </c>
      <c r="J5" s="118">
        <v>21</v>
      </c>
      <c r="K5" s="118"/>
      <c r="L5" s="118"/>
      <c r="M5" s="118"/>
      <c r="N5" s="118"/>
      <c r="O5" s="118">
        <f>SUM(C5:N5)</f>
        <v>188</v>
      </c>
      <c r="P5" s="119">
        <f t="shared" si="0"/>
        <v>8.5376930063578563E-2</v>
      </c>
    </row>
    <row r="6" spans="1:16" x14ac:dyDescent="0.3">
      <c r="A6" s="37">
        <v>3</v>
      </c>
      <c r="B6" s="37" t="s">
        <v>39</v>
      </c>
      <c r="C6" s="37">
        <v>15</v>
      </c>
      <c r="D6" s="37">
        <v>23</v>
      </c>
      <c r="E6" s="37">
        <v>32</v>
      </c>
      <c r="F6" s="37">
        <v>17</v>
      </c>
      <c r="G6" s="37">
        <v>6</v>
      </c>
      <c r="H6" s="37">
        <v>9</v>
      </c>
      <c r="I6" s="37">
        <v>14</v>
      </c>
      <c r="J6" s="37">
        <v>15</v>
      </c>
      <c r="K6" s="37"/>
      <c r="L6" s="37"/>
      <c r="M6" s="37"/>
      <c r="N6" s="37"/>
      <c r="O6" s="37">
        <f>SUM(C6:N6)</f>
        <v>131</v>
      </c>
      <c r="P6" s="38">
        <f t="shared" si="0"/>
        <v>5.9491371480472295E-2</v>
      </c>
    </row>
    <row r="7" spans="1:16" x14ac:dyDescent="0.3">
      <c r="A7" s="37">
        <v>4</v>
      </c>
      <c r="B7" s="37" t="s">
        <v>46</v>
      </c>
      <c r="C7" s="37">
        <v>11</v>
      </c>
      <c r="D7" s="37">
        <v>5</v>
      </c>
      <c r="E7" s="37">
        <v>20</v>
      </c>
      <c r="F7" s="37">
        <v>5</v>
      </c>
      <c r="G7" s="37">
        <v>9</v>
      </c>
      <c r="H7" s="37">
        <v>14</v>
      </c>
      <c r="I7" s="37">
        <v>14</v>
      </c>
      <c r="J7" s="37">
        <v>11</v>
      </c>
      <c r="K7" s="37"/>
      <c r="L7" s="37"/>
      <c r="M7" s="37"/>
      <c r="N7" s="37"/>
      <c r="O7" s="37">
        <f t="shared" ref="O7:O16" si="1">SUM(C7:N7)</f>
        <v>89</v>
      </c>
      <c r="P7" s="38">
        <f t="shared" si="0"/>
        <v>4.041780199818347E-2</v>
      </c>
    </row>
    <row r="8" spans="1:16" x14ac:dyDescent="0.3">
      <c r="A8" s="37">
        <v>5</v>
      </c>
      <c r="B8" s="37" t="s">
        <v>37</v>
      </c>
      <c r="C8" s="37">
        <v>27</v>
      </c>
      <c r="D8" s="37">
        <v>27</v>
      </c>
      <c r="E8" s="37">
        <v>21</v>
      </c>
      <c r="F8" s="37">
        <v>16</v>
      </c>
      <c r="G8" s="37">
        <v>25</v>
      </c>
      <c r="H8" s="37">
        <v>30</v>
      </c>
      <c r="I8" s="37">
        <v>23</v>
      </c>
      <c r="J8" s="37">
        <v>15</v>
      </c>
      <c r="K8" s="37"/>
      <c r="L8" s="37"/>
      <c r="M8" s="37"/>
      <c r="N8" s="37"/>
      <c r="O8" s="37">
        <f t="shared" si="1"/>
        <v>184</v>
      </c>
      <c r="P8" s="38">
        <f t="shared" si="0"/>
        <v>8.3560399636693913E-2</v>
      </c>
    </row>
    <row r="9" spans="1:16" x14ac:dyDescent="0.3">
      <c r="A9" s="37">
        <v>6</v>
      </c>
      <c r="B9" s="37" t="s">
        <v>45</v>
      </c>
      <c r="C9" s="37">
        <v>12</v>
      </c>
      <c r="D9" s="37">
        <v>6</v>
      </c>
      <c r="E9" s="37">
        <v>12</v>
      </c>
      <c r="F9" s="37">
        <v>6</v>
      </c>
      <c r="G9" s="37">
        <v>4</v>
      </c>
      <c r="H9" s="37">
        <v>15</v>
      </c>
      <c r="I9" s="37">
        <v>6</v>
      </c>
      <c r="J9" s="37">
        <v>12</v>
      </c>
      <c r="K9" s="37"/>
      <c r="L9" s="37"/>
      <c r="M9" s="37"/>
      <c r="N9" s="37"/>
      <c r="O9" s="37">
        <f t="shared" si="1"/>
        <v>73</v>
      </c>
      <c r="P9" s="38">
        <f t="shared" si="0"/>
        <v>3.3151680290644865E-2</v>
      </c>
    </row>
    <row r="10" spans="1:16" x14ac:dyDescent="0.3">
      <c r="A10" s="37">
        <v>7</v>
      </c>
      <c r="B10" s="37" t="s">
        <v>48</v>
      </c>
      <c r="C10" s="37">
        <v>4</v>
      </c>
      <c r="D10" s="37">
        <v>3</v>
      </c>
      <c r="E10" s="37">
        <v>11</v>
      </c>
      <c r="F10" s="37">
        <v>3</v>
      </c>
      <c r="G10" s="37">
        <v>4</v>
      </c>
      <c r="H10" s="37">
        <v>5</v>
      </c>
      <c r="I10" s="37">
        <v>9</v>
      </c>
      <c r="J10" s="37">
        <v>5</v>
      </c>
      <c r="K10" s="37"/>
      <c r="L10" s="37"/>
      <c r="M10" s="37"/>
      <c r="N10" s="37"/>
      <c r="O10" s="37">
        <f t="shared" si="1"/>
        <v>44</v>
      </c>
      <c r="P10" s="38">
        <f t="shared" si="0"/>
        <v>1.9981834695731154E-2</v>
      </c>
    </row>
    <row r="11" spans="1:16" x14ac:dyDescent="0.3">
      <c r="A11" s="37">
        <v>8</v>
      </c>
      <c r="B11" s="37" t="s">
        <v>42</v>
      </c>
      <c r="C11" s="37">
        <v>5</v>
      </c>
      <c r="D11" s="37">
        <v>5</v>
      </c>
      <c r="E11" s="37">
        <v>9</v>
      </c>
      <c r="F11" s="37">
        <v>1</v>
      </c>
      <c r="G11" s="37">
        <v>5</v>
      </c>
      <c r="H11" s="37">
        <v>5</v>
      </c>
      <c r="I11" s="37">
        <v>5</v>
      </c>
      <c r="J11" s="37">
        <v>4</v>
      </c>
      <c r="K11" s="37"/>
      <c r="L11" s="37"/>
      <c r="M11" s="37"/>
      <c r="N11" s="37"/>
      <c r="O11" s="37">
        <f t="shared" si="1"/>
        <v>39</v>
      </c>
      <c r="P11" s="38">
        <f t="shared" si="0"/>
        <v>1.7711171662125342E-2</v>
      </c>
    </row>
    <row r="12" spans="1:16" x14ac:dyDescent="0.3">
      <c r="A12" s="37">
        <v>9</v>
      </c>
      <c r="B12" s="37" t="s">
        <v>40</v>
      </c>
      <c r="C12" s="37">
        <v>5</v>
      </c>
      <c r="D12" s="37">
        <v>5</v>
      </c>
      <c r="E12" s="37">
        <v>1</v>
      </c>
      <c r="F12" s="37">
        <v>1</v>
      </c>
      <c r="G12" s="37">
        <v>5</v>
      </c>
      <c r="H12" s="37">
        <v>4</v>
      </c>
      <c r="I12" s="37">
        <v>4</v>
      </c>
      <c r="J12" s="37">
        <v>4</v>
      </c>
      <c r="K12" s="37"/>
      <c r="L12" s="37"/>
      <c r="M12" s="37"/>
      <c r="N12" s="37"/>
      <c r="O12" s="37">
        <f t="shared" si="1"/>
        <v>29</v>
      </c>
      <c r="P12" s="38">
        <f t="shared" si="0"/>
        <v>1.3169845594913715E-2</v>
      </c>
    </row>
    <row r="13" spans="1:16" x14ac:dyDescent="0.3">
      <c r="A13" s="37">
        <v>10</v>
      </c>
      <c r="B13" s="37" t="s">
        <v>38</v>
      </c>
      <c r="C13" s="37">
        <v>0</v>
      </c>
      <c r="D13" s="37">
        <v>0</v>
      </c>
      <c r="E13" s="37">
        <v>0</v>
      </c>
      <c r="F13" s="37">
        <v>4</v>
      </c>
      <c r="G13" s="37">
        <v>12</v>
      </c>
      <c r="H13" s="37">
        <v>11</v>
      </c>
      <c r="I13" s="37">
        <v>13</v>
      </c>
      <c r="J13" s="37">
        <v>16</v>
      </c>
      <c r="K13" s="37"/>
      <c r="L13" s="37"/>
      <c r="M13" s="37"/>
      <c r="N13" s="37"/>
      <c r="O13" s="37">
        <f t="shared" si="1"/>
        <v>56</v>
      </c>
      <c r="P13" s="38">
        <f t="shared" si="0"/>
        <v>2.5431425976385105E-2</v>
      </c>
    </row>
    <row r="14" spans="1:16" x14ac:dyDescent="0.3">
      <c r="A14" s="37">
        <v>11</v>
      </c>
      <c r="B14" s="37" t="s">
        <v>41</v>
      </c>
      <c r="C14" s="37">
        <v>2</v>
      </c>
      <c r="D14" s="37">
        <v>2</v>
      </c>
      <c r="E14" s="37">
        <v>1</v>
      </c>
      <c r="F14" s="37">
        <v>2</v>
      </c>
      <c r="G14" s="37">
        <v>2</v>
      </c>
      <c r="H14" s="37">
        <v>3</v>
      </c>
      <c r="I14" s="37">
        <v>1</v>
      </c>
      <c r="J14" s="37">
        <v>3</v>
      </c>
      <c r="K14" s="37"/>
      <c r="L14" s="37"/>
      <c r="M14" s="37"/>
      <c r="N14" s="37"/>
      <c r="O14" s="37">
        <f t="shared" si="1"/>
        <v>16</v>
      </c>
      <c r="P14" s="38">
        <f t="shared" si="0"/>
        <v>7.266121707538601E-3</v>
      </c>
    </row>
    <row r="15" spans="1:16" x14ac:dyDescent="0.3">
      <c r="A15" s="37">
        <v>12</v>
      </c>
      <c r="B15" s="37" t="s">
        <v>43</v>
      </c>
      <c r="C15" s="37">
        <v>1</v>
      </c>
      <c r="D15" s="37">
        <v>1</v>
      </c>
      <c r="E15" s="37">
        <v>2</v>
      </c>
      <c r="F15" s="37">
        <v>0</v>
      </c>
      <c r="G15" s="37">
        <v>2</v>
      </c>
      <c r="H15" s="37">
        <v>2</v>
      </c>
      <c r="I15" s="37">
        <v>2</v>
      </c>
      <c r="J15" s="37">
        <v>2</v>
      </c>
      <c r="K15" s="37"/>
      <c r="L15" s="37"/>
      <c r="M15" s="37"/>
      <c r="N15" s="37"/>
      <c r="O15" s="37">
        <f t="shared" si="1"/>
        <v>12</v>
      </c>
      <c r="P15" s="38">
        <f t="shared" si="0"/>
        <v>5.4495912806539508E-3</v>
      </c>
    </row>
    <row r="16" spans="1:16" x14ac:dyDescent="0.3">
      <c r="A16" s="161" t="s">
        <v>25</v>
      </c>
      <c r="B16" s="162"/>
      <c r="C16" s="37">
        <v>4</v>
      </c>
      <c r="D16" s="37">
        <v>9</v>
      </c>
      <c r="E16" s="37">
        <v>5</v>
      </c>
      <c r="F16" s="37">
        <v>5</v>
      </c>
      <c r="G16" s="37">
        <v>2</v>
      </c>
      <c r="H16" s="37">
        <v>5</v>
      </c>
      <c r="I16" s="37">
        <v>3</v>
      </c>
      <c r="J16" s="37">
        <v>2</v>
      </c>
      <c r="K16" s="37"/>
      <c r="L16" s="37"/>
      <c r="M16" s="37"/>
      <c r="N16" s="37"/>
      <c r="O16" s="37">
        <f t="shared" si="1"/>
        <v>35</v>
      </c>
      <c r="P16" s="38">
        <f t="shared" si="0"/>
        <v>1.5894641235240689E-2</v>
      </c>
    </row>
    <row r="17" spans="1:16" x14ac:dyDescent="0.3">
      <c r="A17" s="158" t="s">
        <v>26</v>
      </c>
      <c r="B17" s="158"/>
      <c r="C17" s="37">
        <f t="shared" ref="C17:J17" si="2">SUM(C4:C16)</f>
        <v>294</v>
      </c>
      <c r="D17" s="37">
        <f t="shared" si="2"/>
        <v>248</v>
      </c>
      <c r="E17" s="37">
        <f t="shared" si="2"/>
        <v>345</v>
      </c>
      <c r="F17" s="37">
        <f t="shared" si="2"/>
        <v>179</v>
      </c>
      <c r="G17" s="37">
        <f t="shared" si="2"/>
        <v>235</v>
      </c>
      <c r="H17" s="37">
        <f t="shared" si="2"/>
        <v>295</v>
      </c>
      <c r="I17" s="37">
        <f t="shared" si="2"/>
        <v>310</v>
      </c>
      <c r="J17" s="37">
        <f t="shared" si="2"/>
        <v>331</v>
      </c>
      <c r="K17" s="37">
        <f t="shared" ref="K17:O17" si="3">SUM(K4:K15)</f>
        <v>0</v>
      </c>
      <c r="L17" s="37">
        <f t="shared" si="3"/>
        <v>0</v>
      </c>
      <c r="M17" s="37">
        <f t="shared" si="3"/>
        <v>0</v>
      </c>
      <c r="N17" s="37">
        <f t="shared" si="3"/>
        <v>0</v>
      </c>
      <c r="O17" s="37">
        <f t="shared" si="3"/>
        <v>2202</v>
      </c>
      <c r="P17" s="38">
        <f>O17/$O$17</f>
        <v>1</v>
      </c>
    </row>
    <row r="20" spans="1:16" x14ac:dyDescent="0.3">
      <c r="B20" s="36" t="s">
        <v>99</v>
      </c>
      <c r="C20" s="36">
        <v>3</v>
      </c>
      <c r="D20" s="36">
        <v>7</v>
      </c>
      <c r="E20" s="36">
        <v>6</v>
      </c>
      <c r="F20" s="36">
        <v>4</v>
      </c>
      <c r="G20" s="36">
        <v>1</v>
      </c>
      <c r="H20" s="36">
        <v>5</v>
      </c>
      <c r="I20" s="36">
        <v>6</v>
      </c>
      <c r="J20" s="36">
        <v>10</v>
      </c>
    </row>
    <row r="21" spans="1:16" x14ac:dyDescent="0.3">
      <c r="B21" s="36" t="s">
        <v>100</v>
      </c>
      <c r="C21" s="36">
        <f>C5-C20</f>
        <v>22</v>
      </c>
      <c r="D21" s="36">
        <f t="shared" ref="D21:N21" si="4">D5-D20</f>
        <v>17</v>
      </c>
      <c r="E21" s="36">
        <f t="shared" si="4"/>
        <v>26</v>
      </c>
      <c r="F21" s="36">
        <f t="shared" si="4"/>
        <v>17</v>
      </c>
      <c r="G21" s="36">
        <f t="shared" si="4"/>
        <v>16</v>
      </c>
      <c r="H21" s="36">
        <f t="shared" si="4"/>
        <v>18</v>
      </c>
      <c r="I21" s="36">
        <f t="shared" si="4"/>
        <v>19</v>
      </c>
      <c r="J21" s="36">
        <f t="shared" si="4"/>
        <v>11</v>
      </c>
      <c r="K21" s="36">
        <f t="shared" si="4"/>
        <v>0</v>
      </c>
      <c r="L21" s="36">
        <f t="shared" si="4"/>
        <v>0</v>
      </c>
      <c r="M21" s="36">
        <f t="shared" si="4"/>
        <v>0</v>
      </c>
      <c r="N21" s="36">
        <f t="shared" si="4"/>
        <v>0</v>
      </c>
    </row>
    <row r="22" spans="1:16" x14ac:dyDescent="0.3">
      <c r="B22" s="36" t="s">
        <v>101</v>
      </c>
      <c r="C22" s="117">
        <f>C20/C5</f>
        <v>0.12</v>
      </c>
      <c r="D22" s="117">
        <f t="shared" ref="D22:N22" si="5">D20/D5</f>
        <v>0.29166666666666669</v>
      </c>
      <c r="E22" s="117">
        <f t="shared" si="5"/>
        <v>0.1875</v>
      </c>
      <c r="F22" s="117">
        <f t="shared" si="5"/>
        <v>0.19047619047619047</v>
      </c>
      <c r="G22" s="117">
        <f t="shared" si="5"/>
        <v>5.8823529411764705E-2</v>
      </c>
      <c r="H22" s="117">
        <f t="shared" si="5"/>
        <v>0.21739130434782608</v>
      </c>
      <c r="I22" s="117">
        <f t="shared" si="5"/>
        <v>0.24</v>
      </c>
      <c r="J22" s="117">
        <f t="shared" si="5"/>
        <v>0.47619047619047616</v>
      </c>
      <c r="K22" s="117" t="e">
        <f t="shared" si="5"/>
        <v>#DIV/0!</v>
      </c>
      <c r="L22" s="117" t="e">
        <f t="shared" si="5"/>
        <v>#DIV/0!</v>
      </c>
      <c r="M22" s="117" t="e">
        <f t="shared" si="5"/>
        <v>#DIV/0!</v>
      </c>
      <c r="N22" s="117" t="e">
        <f t="shared" si="5"/>
        <v>#DIV/0!</v>
      </c>
      <c r="O22" s="117"/>
    </row>
    <row r="23" spans="1:16" x14ac:dyDescent="0.3">
      <c r="B23" s="36" t="s">
        <v>102</v>
      </c>
      <c r="C23" s="117">
        <f>C21/C5</f>
        <v>0.88</v>
      </c>
      <c r="D23" s="117">
        <f t="shared" ref="D23:N23" si="6">D21/D5</f>
        <v>0.70833333333333337</v>
      </c>
      <c r="E23" s="117">
        <f t="shared" si="6"/>
        <v>0.8125</v>
      </c>
      <c r="F23" s="117">
        <f t="shared" si="6"/>
        <v>0.80952380952380953</v>
      </c>
      <c r="G23" s="117">
        <f t="shared" si="6"/>
        <v>0.94117647058823528</v>
      </c>
      <c r="H23" s="117">
        <f t="shared" si="6"/>
        <v>0.78260869565217395</v>
      </c>
      <c r="I23" s="117">
        <f t="shared" si="6"/>
        <v>0.76</v>
      </c>
      <c r="J23" s="117">
        <f t="shared" si="6"/>
        <v>0.52380952380952384</v>
      </c>
      <c r="K23" s="117" t="e">
        <f t="shared" si="6"/>
        <v>#DIV/0!</v>
      </c>
      <c r="L23" s="117" t="e">
        <f t="shared" si="6"/>
        <v>#DIV/0!</v>
      </c>
      <c r="M23" s="117" t="e">
        <f t="shared" si="6"/>
        <v>#DIV/0!</v>
      </c>
      <c r="N23" s="117" t="e">
        <f t="shared" si="6"/>
        <v>#DIV/0!</v>
      </c>
      <c r="O23" s="117"/>
    </row>
  </sheetData>
  <sortState xmlns:xlrd2="http://schemas.microsoft.com/office/spreadsheetml/2017/richdata2" ref="A4:O15">
    <sortCondition ref="B4:B15" customList="MARUTI SUZUKI INDIA LTD,HYUNDAI MOTOR INDIA LTD,TATA MOTORS PASSENGER VEHICLES LTD,KIA MOTORS INDIA PVT LTD,TOYOTA KIRLOSKAR MOTOR PVT LTD,MAHINDRA &amp; MAHINDRA LIMITED,HONDA CARS INDIA LTD,NISSAN MOTOR INDIA PVT LTD,SKODA AUTO VOLKSWAGEN INDIA PVT LTD,TATA PASSENGER ELECTRIC MOBILITY LTD,RENAULT INDIA PVT LTD,MG MOTOR INDIA PVT LTD"/>
  </sortState>
  <mergeCells count="8">
    <mergeCell ref="A17:B17"/>
    <mergeCell ref="C2:N2"/>
    <mergeCell ref="P2:P3"/>
    <mergeCell ref="A1:O1"/>
    <mergeCell ref="A2:A3"/>
    <mergeCell ref="B2:B3"/>
    <mergeCell ref="O2:O3"/>
    <mergeCell ref="A16:B16"/>
  </mergeCells>
  <printOptions gridLines="1"/>
  <pageMargins left="0.7" right="0.7" top="0.75" bottom="0.75" header="0.3" footer="0.3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A4BB-56E8-47F1-87C0-1B78F32AAEE4}">
  <dimension ref="A1:P23"/>
  <sheetViews>
    <sheetView workbookViewId="0">
      <selection activeCell="K17" sqref="K17"/>
    </sheetView>
  </sheetViews>
  <sheetFormatPr defaultRowHeight="13.2" x14ac:dyDescent="0.3"/>
  <cols>
    <col min="1" max="1" width="5.44140625" style="36" bestFit="1" customWidth="1"/>
    <col min="2" max="2" width="44.44140625" style="36" bestFit="1" customWidth="1"/>
    <col min="3" max="4" width="5" style="36" bestFit="1" customWidth="1"/>
    <col min="5" max="5" width="5.6640625" style="36" bestFit="1" customWidth="1"/>
    <col min="6" max="6" width="5" style="36" bestFit="1" customWidth="1"/>
    <col min="7" max="7" width="5.5546875" style="36" bestFit="1" customWidth="1"/>
    <col min="8" max="8" width="6.77734375" style="36" bestFit="1" customWidth="1"/>
    <col min="9" max="14" width="8.33203125" style="36" bestFit="1" customWidth="1"/>
    <col min="15" max="15" width="14.5546875" style="36" bestFit="1" customWidth="1"/>
    <col min="16" max="16" width="6" style="36" bestFit="1" customWidth="1"/>
    <col min="17" max="16384" width="8.88671875" style="36"/>
  </cols>
  <sheetData>
    <row r="1" spans="1:16" x14ac:dyDescent="0.3">
      <c r="A1" s="159" t="s">
        <v>57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39"/>
    </row>
    <row r="2" spans="1:16" x14ac:dyDescent="0.3">
      <c r="A2" s="159" t="s">
        <v>52</v>
      </c>
      <c r="B2" s="159" t="s">
        <v>51</v>
      </c>
      <c r="C2" s="159" t="s">
        <v>50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 t="s">
        <v>49</v>
      </c>
      <c r="P2" s="160" t="s">
        <v>22</v>
      </c>
    </row>
    <row r="3" spans="1:16" x14ac:dyDescent="0.3">
      <c r="A3" s="159"/>
      <c r="B3" s="159"/>
      <c r="C3" s="39" t="s">
        <v>29</v>
      </c>
      <c r="D3" s="39" t="s">
        <v>17</v>
      </c>
      <c r="E3" s="39" t="s">
        <v>30</v>
      </c>
      <c r="F3" s="39" t="s">
        <v>14</v>
      </c>
      <c r="G3" s="39" t="s">
        <v>20</v>
      </c>
      <c r="H3" s="39" t="s">
        <v>21</v>
      </c>
      <c r="I3" s="39" t="s">
        <v>31</v>
      </c>
      <c r="J3" s="39" t="s">
        <v>32</v>
      </c>
      <c r="K3" s="39" t="s">
        <v>33</v>
      </c>
      <c r="L3" s="39" t="s">
        <v>34</v>
      </c>
      <c r="M3" s="39" t="s">
        <v>35</v>
      </c>
      <c r="N3" s="39" t="s">
        <v>36</v>
      </c>
      <c r="O3" s="159"/>
      <c r="P3" s="160"/>
    </row>
    <row r="4" spans="1:16" x14ac:dyDescent="0.3">
      <c r="A4" s="37">
        <v>1</v>
      </c>
      <c r="B4" s="37" t="s">
        <v>44</v>
      </c>
      <c r="C4" s="37">
        <v>176</v>
      </c>
      <c r="D4" s="37">
        <v>123</v>
      </c>
      <c r="E4" s="37">
        <v>188</v>
      </c>
      <c r="F4" s="37">
        <v>72</v>
      </c>
      <c r="G4" s="37">
        <v>106</v>
      </c>
      <c r="H4" s="37">
        <v>138</v>
      </c>
      <c r="I4" s="37">
        <v>158</v>
      </c>
      <c r="J4" s="37">
        <v>172</v>
      </c>
      <c r="K4" s="37"/>
      <c r="L4" s="37"/>
      <c r="M4" s="37"/>
      <c r="N4" s="37"/>
      <c r="O4" s="37">
        <f>SUM(C4:N4)</f>
        <v>1133</v>
      </c>
      <c r="P4" s="38">
        <f t="shared" ref="P4:P16" si="0">O4/$O$17</f>
        <v>0.58887733887733884</v>
      </c>
    </row>
    <row r="5" spans="1:16" x14ac:dyDescent="0.3">
      <c r="A5" s="118">
        <v>2</v>
      </c>
      <c r="B5" s="118" t="s">
        <v>47</v>
      </c>
      <c r="C5" s="118">
        <v>27</v>
      </c>
      <c r="D5" s="118">
        <v>26</v>
      </c>
      <c r="E5" s="118">
        <v>25</v>
      </c>
      <c r="F5" s="118">
        <v>11</v>
      </c>
      <c r="G5" s="118">
        <v>25</v>
      </c>
      <c r="H5" s="118">
        <v>23</v>
      </c>
      <c r="I5" s="118">
        <v>29</v>
      </c>
      <c r="J5" s="118">
        <v>26</v>
      </c>
      <c r="K5" s="118"/>
      <c r="L5" s="118"/>
      <c r="M5" s="118"/>
      <c r="N5" s="118"/>
      <c r="O5" s="118">
        <f>SUM(C5:N5)</f>
        <v>192</v>
      </c>
      <c r="P5" s="119">
        <f t="shared" si="0"/>
        <v>9.9792099792099798E-2</v>
      </c>
    </row>
    <row r="6" spans="1:16" x14ac:dyDescent="0.3">
      <c r="A6" s="37">
        <v>3</v>
      </c>
      <c r="B6" s="37" t="s">
        <v>39</v>
      </c>
      <c r="C6" s="37">
        <v>19</v>
      </c>
      <c r="D6" s="37">
        <v>16</v>
      </c>
      <c r="E6" s="37">
        <v>30</v>
      </c>
      <c r="F6" s="37">
        <v>15</v>
      </c>
      <c r="G6" s="37">
        <v>6</v>
      </c>
      <c r="H6" s="37">
        <v>14</v>
      </c>
      <c r="I6" s="37">
        <v>12</v>
      </c>
      <c r="J6" s="37">
        <v>9</v>
      </c>
      <c r="K6" s="37"/>
      <c r="L6" s="37"/>
      <c r="M6" s="37"/>
      <c r="N6" s="37"/>
      <c r="O6" s="37">
        <f>SUM(C6:N6)</f>
        <v>121</v>
      </c>
      <c r="P6" s="38">
        <f t="shared" si="0"/>
        <v>6.2889812889812893E-2</v>
      </c>
    </row>
    <row r="7" spans="1:16" x14ac:dyDescent="0.3">
      <c r="A7" s="37">
        <v>4</v>
      </c>
      <c r="B7" s="37" t="s">
        <v>46</v>
      </c>
      <c r="C7" s="37">
        <v>17</v>
      </c>
      <c r="D7" s="37">
        <v>14</v>
      </c>
      <c r="E7" s="37">
        <v>25</v>
      </c>
      <c r="F7" s="37">
        <v>9</v>
      </c>
      <c r="G7" s="37">
        <v>15</v>
      </c>
      <c r="H7" s="37">
        <v>10</v>
      </c>
      <c r="I7" s="37">
        <v>15</v>
      </c>
      <c r="J7" s="37">
        <v>9</v>
      </c>
      <c r="K7" s="37"/>
      <c r="L7" s="37"/>
      <c r="M7" s="37"/>
      <c r="N7" s="37"/>
      <c r="O7" s="37">
        <f t="shared" ref="O7:O16" si="1">SUM(C7:N7)</f>
        <v>114</v>
      </c>
      <c r="P7" s="38">
        <f t="shared" si="0"/>
        <v>5.9251559251559255E-2</v>
      </c>
    </row>
    <row r="8" spans="1:16" x14ac:dyDescent="0.3">
      <c r="A8" s="37">
        <v>5</v>
      </c>
      <c r="B8" s="37" t="s">
        <v>37</v>
      </c>
      <c r="C8" s="37">
        <v>16</v>
      </c>
      <c r="D8" s="37">
        <v>15</v>
      </c>
      <c r="E8" s="37">
        <v>18</v>
      </c>
      <c r="F8" s="37">
        <v>8</v>
      </c>
      <c r="G8" s="37">
        <v>24</v>
      </c>
      <c r="H8" s="37">
        <v>13</v>
      </c>
      <c r="I8" s="37">
        <v>25</v>
      </c>
      <c r="J8" s="37">
        <v>19</v>
      </c>
      <c r="K8" s="37"/>
      <c r="L8" s="37"/>
      <c r="M8" s="37"/>
      <c r="N8" s="37"/>
      <c r="O8" s="37">
        <f t="shared" si="1"/>
        <v>138</v>
      </c>
      <c r="P8" s="38">
        <f t="shared" si="0"/>
        <v>7.172557172557173E-2</v>
      </c>
    </row>
    <row r="9" spans="1:16" x14ac:dyDescent="0.3">
      <c r="A9" s="37">
        <v>6</v>
      </c>
      <c r="B9" s="37" t="s">
        <v>45</v>
      </c>
      <c r="C9" s="37">
        <v>4</v>
      </c>
      <c r="D9" s="37">
        <v>4</v>
      </c>
      <c r="E9" s="37">
        <v>7</v>
      </c>
      <c r="F9" s="37">
        <v>6</v>
      </c>
      <c r="G9" s="37">
        <v>7</v>
      </c>
      <c r="H9" s="37">
        <v>7</v>
      </c>
      <c r="I9" s="37">
        <v>5</v>
      </c>
      <c r="J9" s="37">
        <v>4</v>
      </c>
      <c r="K9" s="37"/>
      <c r="L9" s="37"/>
      <c r="M9" s="37"/>
      <c r="N9" s="37"/>
      <c r="O9" s="37">
        <f t="shared" si="1"/>
        <v>44</v>
      </c>
      <c r="P9" s="38">
        <f t="shared" si="0"/>
        <v>2.286902286902287E-2</v>
      </c>
    </row>
    <row r="10" spans="1:16" x14ac:dyDescent="0.3">
      <c r="A10" s="37">
        <v>7</v>
      </c>
      <c r="B10" s="37" t="s">
        <v>48</v>
      </c>
      <c r="C10" s="37">
        <v>9</v>
      </c>
      <c r="D10" s="37">
        <v>1</v>
      </c>
      <c r="E10" s="37">
        <v>9</v>
      </c>
      <c r="F10" s="37">
        <v>3</v>
      </c>
      <c r="G10" s="37">
        <v>8</v>
      </c>
      <c r="H10" s="37">
        <v>2</v>
      </c>
      <c r="I10" s="37">
        <v>9</v>
      </c>
      <c r="J10" s="37">
        <v>4</v>
      </c>
      <c r="K10" s="37"/>
      <c r="L10" s="37"/>
      <c r="M10" s="37"/>
      <c r="N10" s="37"/>
      <c r="O10" s="37">
        <f t="shared" si="1"/>
        <v>45</v>
      </c>
      <c r="P10" s="38">
        <f t="shared" si="0"/>
        <v>2.338877338877339E-2</v>
      </c>
    </row>
    <row r="11" spans="1:16" x14ac:dyDescent="0.3">
      <c r="A11" s="37">
        <v>8</v>
      </c>
      <c r="B11" s="37" t="s">
        <v>42</v>
      </c>
      <c r="C11" s="37">
        <v>3</v>
      </c>
      <c r="D11" s="37">
        <v>1</v>
      </c>
      <c r="E11" s="37">
        <v>6</v>
      </c>
      <c r="F11" s="37">
        <v>1</v>
      </c>
      <c r="G11" s="37">
        <v>2</v>
      </c>
      <c r="H11" s="37">
        <v>4</v>
      </c>
      <c r="I11" s="37">
        <v>2</v>
      </c>
      <c r="J11" s="37">
        <v>4</v>
      </c>
      <c r="K11" s="37"/>
      <c r="L11" s="37"/>
      <c r="M11" s="37"/>
      <c r="N11" s="37"/>
      <c r="O11" s="37">
        <f t="shared" si="1"/>
        <v>23</v>
      </c>
      <c r="P11" s="38">
        <f t="shared" si="0"/>
        <v>1.1954261954261955E-2</v>
      </c>
    </row>
    <row r="12" spans="1:16" x14ac:dyDescent="0.3">
      <c r="A12" s="37">
        <v>9</v>
      </c>
      <c r="B12" s="37" t="s">
        <v>40</v>
      </c>
      <c r="C12" s="37">
        <v>8</v>
      </c>
      <c r="D12" s="37">
        <v>6</v>
      </c>
      <c r="E12" s="37">
        <v>5</v>
      </c>
      <c r="F12" s="37">
        <v>3</v>
      </c>
      <c r="G12" s="37">
        <v>3</v>
      </c>
      <c r="H12" s="37">
        <v>3</v>
      </c>
      <c r="I12" s="37">
        <v>4</v>
      </c>
      <c r="J12" s="37">
        <v>3</v>
      </c>
      <c r="K12" s="37"/>
      <c r="L12" s="37"/>
      <c r="M12" s="37"/>
      <c r="N12" s="37"/>
      <c r="O12" s="37">
        <f t="shared" si="1"/>
        <v>35</v>
      </c>
      <c r="P12" s="38">
        <f t="shared" si="0"/>
        <v>1.8191268191268192E-2</v>
      </c>
    </row>
    <row r="13" spans="1:16" x14ac:dyDescent="0.3">
      <c r="A13" s="37">
        <v>10</v>
      </c>
      <c r="B13" s="37" t="s">
        <v>38</v>
      </c>
      <c r="C13" s="37">
        <v>0</v>
      </c>
      <c r="D13" s="37">
        <v>0</v>
      </c>
      <c r="E13" s="37">
        <v>0</v>
      </c>
      <c r="F13" s="37">
        <v>1</v>
      </c>
      <c r="G13" s="37">
        <v>6</v>
      </c>
      <c r="H13" s="37">
        <v>10</v>
      </c>
      <c r="I13" s="37">
        <v>16</v>
      </c>
      <c r="J13" s="37">
        <v>10</v>
      </c>
      <c r="K13" s="37"/>
      <c r="L13" s="37"/>
      <c r="M13" s="37"/>
      <c r="N13" s="37"/>
      <c r="O13" s="37">
        <f t="shared" si="1"/>
        <v>43</v>
      </c>
      <c r="P13" s="38">
        <f t="shared" si="0"/>
        <v>2.2349272349272351E-2</v>
      </c>
    </row>
    <row r="14" spans="1:16" x14ac:dyDescent="0.3">
      <c r="A14" s="37">
        <v>11</v>
      </c>
      <c r="B14" s="37" t="s">
        <v>41</v>
      </c>
      <c r="C14" s="37">
        <v>3</v>
      </c>
      <c r="D14" s="37">
        <v>2</v>
      </c>
      <c r="E14" s="37">
        <v>3</v>
      </c>
      <c r="F14" s="37">
        <v>1</v>
      </c>
      <c r="G14" s="37">
        <v>0</v>
      </c>
      <c r="H14" s="37">
        <v>3</v>
      </c>
      <c r="I14" s="37">
        <v>1</v>
      </c>
      <c r="J14" s="37">
        <v>2</v>
      </c>
      <c r="K14" s="37"/>
      <c r="L14" s="37"/>
      <c r="M14" s="37"/>
      <c r="N14" s="37"/>
      <c r="O14" s="37">
        <f t="shared" si="1"/>
        <v>15</v>
      </c>
      <c r="P14" s="38">
        <f t="shared" si="0"/>
        <v>7.7962577962577967E-3</v>
      </c>
    </row>
    <row r="15" spans="1:16" x14ac:dyDescent="0.3">
      <c r="A15" s="37">
        <v>12</v>
      </c>
      <c r="B15" s="37" t="s">
        <v>43</v>
      </c>
      <c r="C15" s="37">
        <v>3</v>
      </c>
      <c r="D15" s="37">
        <v>3</v>
      </c>
      <c r="E15" s="37">
        <v>4</v>
      </c>
      <c r="F15" s="37">
        <v>1</v>
      </c>
      <c r="G15" s="37">
        <v>3</v>
      </c>
      <c r="H15" s="37">
        <v>2</v>
      </c>
      <c r="I15" s="37">
        <v>2</v>
      </c>
      <c r="J15" s="37">
        <v>3</v>
      </c>
      <c r="K15" s="37"/>
      <c r="L15" s="37"/>
      <c r="M15" s="37"/>
      <c r="N15" s="37"/>
      <c r="O15" s="37">
        <f t="shared" si="1"/>
        <v>21</v>
      </c>
      <c r="P15" s="38">
        <f t="shared" si="0"/>
        <v>1.0914760914760915E-2</v>
      </c>
    </row>
    <row r="16" spans="1:16" x14ac:dyDescent="0.3">
      <c r="A16" s="161" t="s">
        <v>25</v>
      </c>
      <c r="B16" s="162"/>
      <c r="C16" s="37">
        <v>6</v>
      </c>
      <c r="D16" s="37">
        <v>9</v>
      </c>
      <c r="E16" s="37">
        <v>7</v>
      </c>
      <c r="F16" s="37">
        <v>7</v>
      </c>
      <c r="G16" s="37">
        <v>0</v>
      </c>
      <c r="H16" s="37">
        <v>5</v>
      </c>
      <c r="I16" s="37">
        <v>1</v>
      </c>
      <c r="J16" s="37">
        <v>4</v>
      </c>
      <c r="K16" s="37"/>
      <c r="L16" s="37"/>
      <c r="M16" s="37"/>
      <c r="N16" s="37"/>
      <c r="O16" s="37">
        <f t="shared" si="1"/>
        <v>39</v>
      </c>
      <c r="P16" s="38">
        <f t="shared" si="0"/>
        <v>2.0270270270270271E-2</v>
      </c>
    </row>
    <row r="17" spans="1:16" x14ac:dyDescent="0.3">
      <c r="A17" s="158" t="s">
        <v>26</v>
      </c>
      <c r="B17" s="158"/>
      <c r="C17" s="37">
        <f t="shared" ref="C17:J17" si="2">SUM(C4:C16)</f>
        <v>291</v>
      </c>
      <c r="D17" s="37">
        <f t="shared" si="2"/>
        <v>220</v>
      </c>
      <c r="E17" s="37">
        <f t="shared" si="2"/>
        <v>327</v>
      </c>
      <c r="F17" s="37">
        <f t="shared" si="2"/>
        <v>138</v>
      </c>
      <c r="G17" s="37">
        <f t="shared" si="2"/>
        <v>205</v>
      </c>
      <c r="H17" s="37">
        <f t="shared" si="2"/>
        <v>234</v>
      </c>
      <c r="I17" s="37">
        <f t="shared" si="2"/>
        <v>279</v>
      </c>
      <c r="J17" s="37">
        <f t="shared" si="2"/>
        <v>269</v>
      </c>
      <c r="K17" s="37">
        <f t="shared" ref="K17:O17" si="3">SUM(K4:K15)</f>
        <v>0</v>
      </c>
      <c r="L17" s="37">
        <f t="shared" si="3"/>
        <v>0</v>
      </c>
      <c r="M17" s="37">
        <f t="shared" si="3"/>
        <v>0</v>
      </c>
      <c r="N17" s="37">
        <f t="shared" si="3"/>
        <v>0</v>
      </c>
      <c r="O17" s="37">
        <f t="shared" si="3"/>
        <v>1924</v>
      </c>
      <c r="P17" s="38">
        <f>O17/$O$17</f>
        <v>1</v>
      </c>
    </row>
    <row r="20" spans="1:16" x14ac:dyDescent="0.3">
      <c r="B20" s="36" t="s">
        <v>99</v>
      </c>
      <c r="C20" s="36">
        <v>12</v>
      </c>
      <c r="D20" s="36">
        <v>4</v>
      </c>
      <c r="E20" s="36">
        <v>9</v>
      </c>
      <c r="F20" s="36">
        <v>2</v>
      </c>
      <c r="G20" s="36">
        <v>5</v>
      </c>
      <c r="H20" s="36">
        <v>12</v>
      </c>
      <c r="I20" s="36">
        <v>4</v>
      </c>
      <c r="J20" s="36">
        <v>14</v>
      </c>
    </row>
    <row r="21" spans="1:16" x14ac:dyDescent="0.3">
      <c r="B21" s="36" t="s">
        <v>100</v>
      </c>
      <c r="C21" s="36">
        <f>C5-C20</f>
        <v>15</v>
      </c>
      <c r="D21" s="36">
        <f t="shared" ref="D21:N21" si="4">D5-D20</f>
        <v>22</v>
      </c>
      <c r="E21" s="36">
        <f t="shared" si="4"/>
        <v>16</v>
      </c>
      <c r="F21" s="36">
        <f t="shared" si="4"/>
        <v>9</v>
      </c>
      <c r="G21" s="36">
        <f t="shared" si="4"/>
        <v>20</v>
      </c>
      <c r="H21" s="36">
        <f t="shared" si="4"/>
        <v>11</v>
      </c>
      <c r="I21" s="36">
        <f t="shared" si="4"/>
        <v>25</v>
      </c>
      <c r="J21" s="36">
        <f t="shared" si="4"/>
        <v>12</v>
      </c>
      <c r="K21" s="36">
        <f t="shared" si="4"/>
        <v>0</v>
      </c>
      <c r="L21" s="36">
        <f t="shared" si="4"/>
        <v>0</v>
      </c>
      <c r="M21" s="36">
        <f t="shared" si="4"/>
        <v>0</v>
      </c>
      <c r="N21" s="36">
        <f t="shared" si="4"/>
        <v>0</v>
      </c>
    </row>
    <row r="22" spans="1:16" x14ac:dyDescent="0.3">
      <c r="B22" s="36" t="s">
        <v>101</v>
      </c>
      <c r="C22" s="117">
        <f>C20/C5</f>
        <v>0.44444444444444442</v>
      </c>
      <c r="D22" s="117">
        <f t="shared" ref="D22:N22" si="5">D20/D5</f>
        <v>0.15384615384615385</v>
      </c>
      <c r="E22" s="117">
        <f t="shared" si="5"/>
        <v>0.36</v>
      </c>
      <c r="F22" s="117">
        <f t="shared" si="5"/>
        <v>0.18181818181818182</v>
      </c>
      <c r="G22" s="117">
        <f t="shared" si="5"/>
        <v>0.2</v>
      </c>
      <c r="H22" s="117">
        <f t="shared" si="5"/>
        <v>0.52173913043478259</v>
      </c>
      <c r="I22" s="117">
        <f t="shared" si="5"/>
        <v>0.13793103448275862</v>
      </c>
      <c r="J22" s="117">
        <f t="shared" si="5"/>
        <v>0.53846153846153844</v>
      </c>
      <c r="K22" s="117" t="e">
        <f t="shared" si="5"/>
        <v>#DIV/0!</v>
      </c>
      <c r="L22" s="117" t="e">
        <f t="shared" si="5"/>
        <v>#DIV/0!</v>
      </c>
      <c r="M22" s="117" t="e">
        <f t="shared" si="5"/>
        <v>#DIV/0!</v>
      </c>
      <c r="N22" s="117" t="e">
        <f t="shared" si="5"/>
        <v>#DIV/0!</v>
      </c>
      <c r="O22" s="117"/>
    </row>
    <row r="23" spans="1:16" x14ac:dyDescent="0.3">
      <c r="B23" s="36" t="s">
        <v>102</v>
      </c>
      <c r="C23" s="117">
        <f>C21/C5</f>
        <v>0.55555555555555558</v>
      </c>
      <c r="D23" s="117">
        <f t="shared" ref="D23:N23" si="6">D21/D5</f>
        <v>0.84615384615384615</v>
      </c>
      <c r="E23" s="117">
        <f t="shared" si="6"/>
        <v>0.64</v>
      </c>
      <c r="F23" s="117">
        <f t="shared" si="6"/>
        <v>0.81818181818181823</v>
      </c>
      <c r="G23" s="117">
        <f t="shared" si="6"/>
        <v>0.8</v>
      </c>
      <c r="H23" s="117">
        <f t="shared" si="6"/>
        <v>0.47826086956521741</v>
      </c>
      <c r="I23" s="117">
        <f t="shared" si="6"/>
        <v>0.86206896551724133</v>
      </c>
      <c r="J23" s="117">
        <f t="shared" si="6"/>
        <v>0.46153846153846156</v>
      </c>
      <c r="K23" s="117" t="e">
        <f t="shared" si="6"/>
        <v>#DIV/0!</v>
      </c>
      <c r="L23" s="117" t="e">
        <f t="shared" si="6"/>
        <v>#DIV/0!</v>
      </c>
      <c r="M23" s="117" t="e">
        <f t="shared" si="6"/>
        <v>#DIV/0!</v>
      </c>
      <c r="N23" s="117" t="e">
        <f t="shared" si="6"/>
        <v>#DIV/0!</v>
      </c>
      <c r="O23" s="117"/>
    </row>
  </sheetData>
  <sortState xmlns:xlrd2="http://schemas.microsoft.com/office/spreadsheetml/2017/richdata2" ref="A4:O15">
    <sortCondition ref="B4:B15" customList="MARUTI SUZUKI INDIA LTD,HYUNDAI MOTOR INDIA LTD,TATA MOTORS PASSENGER VEHICLES LTD,KIA MOTORS INDIA PVT LTD,TOYOTA KIRLOSKAR MOTOR PVT LTD,MAHINDRA &amp; MAHINDRA LIMITED,HONDA CARS INDIA LTD,NISSAN MOTOR INDIA PVT LTD,SKODA AUTO VOLKSWAGEN INDIA PVT LTD,TATA PASSENGER ELECTRIC MOBILITY LTD,RENAULT INDIA PVT LTD,MG MOTOR INDIA PVT LTD"/>
  </sortState>
  <mergeCells count="8">
    <mergeCell ref="A17:B17"/>
    <mergeCell ref="C2:N2"/>
    <mergeCell ref="P2:P3"/>
    <mergeCell ref="A1:O1"/>
    <mergeCell ref="A2:A3"/>
    <mergeCell ref="B2:B3"/>
    <mergeCell ref="O2:O3"/>
    <mergeCell ref="A16:B16"/>
  </mergeCells>
  <printOptions gridLines="1"/>
  <pageMargins left="0.7" right="0.7" top="0.75" bottom="0.75" header="0.3" footer="0.3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F272-10B1-4702-9B5E-4E57884DB76B}">
  <dimension ref="A1:P23"/>
  <sheetViews>
    <sheetView workbookViewId="0">
      <selection activeCell="H17" sqref="H17"/>
    </sheetView>
  </sheetViews>
  <sheetFormatPr defaultRowHeight="13.2" x14ac:dyDescent="0.3"/>
  <cols>
    <col min="1" max="1" width="5.44140625" style="36" bestFit="1" customWidth="1"/>
    <col min="2" max="2" width="44.44140625" style="36" bestFit="1" customWidth="1"/>
    <col min="3" max="3" width="5" style="36" bestFit="1" customWidth="1"/>
    <col min="4" max="4" width="6" style="36" bestFit="1" customWidth="1"/>
    <col min="5" max="5" width="5.6640625" style="36" bestFit="1" customWidth="1"/>
    <col min="6" max="6" width="5" style="36" bestFit="1" customWidth="1"/>
    <col min="7" max="7" width="5.5546875" style="36" bestFit="1" customWidth="1"/>
    <col min="8" max="8" width="5.109375" style="36" bestFit="1" customWidth="1"/>
    <col min="9" max="14" width="8.33203125" style="36" bestFit="1" customWidth="1"/>
    <col min="15" max="15" width="14.5546875" style="36" bestFit="1" customWidth="1"/>
    <col min="16" max="16" width="6" style="36" bestFit="1" customWidth="1"/>
    <col min="17" max="16384" width="8.88671875" style="36"/>
  </cols>
  <sheetData>
    <row r="1" spans="1:16" x14ac:dyDescent="0.3">
      <c r="A1" s="159" t="s">
        <v>59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39"/>
    </row>
    <row r="2" spans="1:16" x14ac:dyDescent="0.3">
      <c r="A2" s="159" t="s">
        <v>52</v>
      </c>
      <c r="B2" s="159" t="s">
        <v>51</v>
      </c>
      <c r="C2" s="159" t="s">
        <v>50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 t="s">
        <v>49</v>
      </c>
      <c r="P2" s="160" t="s">
        <v>22</v>
      </c>
    </row>
    <row r="3" spans="1:16" x14ac:dyDescent="0.3">
      <c r="A3" s="159"/>
      <c r="B3" s="159"/>
      <c r="C3" s="39" t="s">
        <v>29</v>
      </c>
      <c r="D3" s="39" t="s">
        <v>17</v>
      </c>
      <c r="E3" s="39" t="s">
        <v>30</v>
      </c>
      <c r="F3" s="39" t="s">
        <v>14</v>
      </c>
      <c r="G3" s="39" t="s">
        <v>20</v>
      </c>
      <c r="H3" s="39" t="s">
        <v>21</v>
      </c>
      <c r="I3" s="39" t="s">
        <v>31</v>
      </c>
      <c r="J3" s="39" t="s">
        <v>32</v>
      </c>
      <c r="K3" s="39" t="s">
        <v>33</v>
      </c>
      <c r="L3" s="39" t="s">
        <v>34</v>
      </c>
      <c r="M3" s="39" t="s">
        <v>35</v>
      </c>
      <c r="N3" s="39" t="s">
        <v>36</v>
      </c>
      <c r="O3" s="159"/>
      <c r="P3" s="160"/>
    </row>
    <row r="4" spans="1:16" x14ac:dyDescent="0.3">
      <c r="A4" s="37">
        <v>1</v>
      </c>
      <c r="B4" s="37" t="s">
        <v>44</v>
      </c>
      <c r="C4" s="37">
        <v>66</v>
      </c>
      <c r="D4" s="37">
        <v>61</v>
      </c>
      <c r="E4" s="37">
        <v>87</v>
      </c>
      <c r="F4" s="37">
        <v>38</v>
      </c>
      <c r="G4" s="37">
        <v>70</v>
      </c>
      <c r="H4" s="37">
        <v>57</v>
      </c>
      <c r="I4" s="37">
        <v>88</v>
      </c>
      <c r="J4" s="37">
        <v>88</v>
      </c>
      <c r="K4" s="37"/>
      <c r="L4" s="37"/>
      <c r="M4" s="37"/>
      <c r="N4" s="37"/>
      <c r="O4" s="37">
        <f>SUM(C4:N4)</f>
        <v>555</v>
      </c>
      <c r="P4" s="38">
        <f t="shared" ref="P4:P16" si="0">O4/$O$17</f>
        <v>0.58606124604012677</v>
      </c>
    </row>
    <row r="5" spans="1:16" x14ac:dyDescent="0.3">
      <c r="A5" s="118">
        <v>2</v>
      </c>
      <c r="B5" s="118" t="s">
        <v>47</v>
      </c>
      <c r="C5" s="118">
        <v>8</v>
      </c>
      <c r="D5" s="118">
        <v>6</v>
      </c>
      <c r="E5" s="118">
        <v>14</v>
      </c>
      <c r="F5" s="118">
        <v>12</v>
      </c>
      <c r="G5" s="118">
        <v>8</v>
      </c>
      <c r="H5" s="118">
        <v>10</v>
      </c>
      <c r="I5" s="118">
        <v>10</v>
      </c>
      <c r="J5" s="118">
        <v>11</v>
      </c>
      <c r="K5" s="118"/>
      <c r="L5" s="118"/>
      <c r="M5" s="118"/>
      <c r="N5" s="118"/>
      <c r="O5" s="118">
        <f>SUM(C5:N5)</f>
        <v>79</v>
      </c>
      <c r="P5" s="119">
        <f t="shared" si="0"/>
        <v>8.3421330517423439E-2</v>
      </c>
    </row>
    <row r="6" spans="1:16" x14ac:dyDescent="0.3">
      <c r="A6" s="37">
        <v>3</v>
      </c>
      <c r="B6" s="37" t="s">
        <v>39</v>
      </c>
      <c r="C6" s="37">
        <v>12</v>
      </c>
      <c r="D6" s="37">
        <v>8</v>
      </c>
      <c r="E6" s="37">
        <v>12</v>
      </c>
      <c r="F6" s="37">
        <v>3</v>
      </c>
      <c r="G6" s="37">
        <v>7</v>
      </c>
      <c r="H6" s="37">
        <v>7</v>
      </c>
      <c r="I6" s="37">
        <v>8</v>
      </c>
      <c r="J6" s="37">
        <v>9</v>
      </c>
      <c r="K6" s="37"/>
      <c r="L6" s="37"/>
      <c r="M6" s="37"/>
      <c r="N6" s="37"/>
      <c r="O6" s="37">
        <f>SUM(C6:N6)</f>
        <v>66</v>
      </c>
      <c r="P6" s="38">
        <f t="shared" si="0"/>
        <v>6.9693769799366423E-2</v>
      </c>
    </row>
    <row r="7" spans="1:16" x14ac:dyDescent="0.3">
      <c r="A7" s="37">
        <v>4</v>
      </c>
      <c r="B7" s="37" t="s">
        <v>46</v>
      </c>
      <c r="C7" s="37">
        <v>7</v>
      </c>
      <c r="D7" s="37">
        <v>8</v>
      </c>
      <c r="E7" s="37">
        <v>14</v>
      </c>
      <c r="F7" s="37">
        <v>3</v>
      </c>
      <c r="G7" s="37">
        <v>4</v>
      </c>
      <c r="H7" s="37">
        <v>4</v>
      </c>
      <c r="I7" s="37">
        <v>8</v>
      </c>
      <c r="J7" s="37">
        <v>2</v>
      </c>
      <c r="K7" s="37"/>
      <c r="L7" s="37"/>
      <c r="M7" s="37"/>
      <c r="N7" s="37"/>
      <c r="O7" s="37">
        <f t="shared" ref="O7:O16" si="1">SUM(C7:N7)</f>
        <v>50</v>
      </c>
      <c r="P7" s="38">
        <f t="shared" si="0"/>
        <v>5.2798310454065467E-2</v>
      </c>
    </row>
    <row r="8" spans="1:16" x14ac:dyDescent="0.3">
      <c r="A8" s="37">
        <v>5</v>
      </c>
      <c r="B8" s="37" t="s">
        <v>37</v>
      </c>
      <c r="C8" s="37">
        <v>5</v>
      </c>
      <c r="D8" s="37">
        <v>13</v>
      </c>
      <c r="E8" s="37">
        <v>11</v>
      </c>
      <c r="F8" s="37">
        <v>5</v>
      </c>
      <c r="G8" s="37">
        <v>12</v>
      </c>
      <c r="H8" s="37">
        <v>6</v>
      </c>
      <c r="I8" s="37">
        <v>11</v>
      </c>
      <c r="J8" s="37">
        <v>12</v>
      </c>
      <c r="K8" s="37"/>
      <c r="L8" s="37"/>
      <c r="M8" s="37"/>
      <c r="N8" s="37"/>
      <c r="O8" s="37">
        <f t="shared" si="1"/>
        <v>75</v>
      </c>
      <c r="P8" s="38">
        <f t="shared" si="0"/>
        <v>7.91974656810982E-2</v>
      </c>
    </row>
    <row r="9" spans="1:16" x14ac:dyDescent="0.3">
      <c r="A9" s="37">
        <v>6</v>
      </c>
      <c r="B9" s="37" t="s">
        <v>45</v>
      </c>
      <c r="C9" s="37">
        <v>4</v>
      </c>
      <c r="D9" s="37">
        <v>3</v>
      </c>
      <c r="E9" s="37">
        <v>6</v>
      </c>
      <c r="F9" s="37">
        <v>6</v>
      </c>
      <c r="G9" s="37">
        <v>3</v>
      </c>
      <c r="H9" s="37">
        <v>6</v>
      </c>
      <c r="I9" s="37">
        <v>5</v>
      </c>
      <c r="J9" s="37">
        <v>2</v>
      </c>
      <c r="K9" s="37"/>
      <c r="L9" s="37"/>
      <c r="M9" s="37"/>
      <c r="N9" s="37"/>
      <c r="O9" s="37">
        <f t="shared" si="1"/>
        <v>35</v>
      </c>
      <c r="P9" s="38">
        <f t="shared" si="0"/>
        <v>3.6958817317845831E-2</v>
      </c>
    </row>
    <row r="10" spans="1:16" x14ac:dyDescent="0.3">
      <c r="A10" s="37">
        <v>7</v>
      </c>
      <c r="B10" s="37" t="s">
        <v>48</v>
      </c>
      <c r="C10" s="37">
        <v>2</v>
      </c>
      <c r="D10" s="37">
        <v>1</v>
      </c>
      <c r="E10" s="37">
        <v>2</v>
      </c>
      <c r="F10" s="37">
        <v>1</v>
      </c>
      <c r="G10" s="37">
        <v>1</v>
      </c>
      <c r="H10" s="37">
        <v>0</v>
      </c>
      <c r="I10" s="37">
        <v>0</v>
      </c>
      <c r="J10" s="37">
        <v>4</v>
      </c>
      <c r="K10" s="37"/>
      <c r="L10" s="37"/>
      <c r="M10" s="37"/>
      <c r="N10" s="37"/>
      <c r="O10" s="37">
        <f t="shared" si="1"/>
        <v>11</v>
      </c>
      <c r="P10" s="38">
        <f t="shared" si="0"/>
        <v>1.1615628299894404E-2</v>
      </c>
    </row>
    <row r="11" spans="1:16" x14ac:dyDescent="0.3">
      <c r="A11" s="37">
        <v>8</v>
      </c>
      <c r="B11" s="37" t="s">
        <v>42</v>
      </c>
      <c r="C11" s="37">
        <v>8</v>
      </c>
      <c r="D11" s="37">
        <v>1</v>
      </c>
      <c r="E11" s="37">
        <v>3</v>
      </c>
      <c r="F11" s="37">
        <v>3</v>
      </c>
      <c r="G11" s="37">
        <v>3</v>
      </c>
      <c r="H11" s="37">
        <v>3</v>
      </c>
      <c r="I11" s="37">
        <v>8</v>
      </c>
      <c r="J11" s="37">
        <v>4</v>
      </c>
      <c r="K11" s="37"/>
      <c r="L11" s="37"/>
      <c r="M11" s="37"/>
      <c r="N11" s="37"/>
      <c r="O11" s="37">
        <f t="shared" si="1"/>
        <v>33</v>
      </c>
      <c r="P11" s="38">
        <f t="shared" si="0"/>
        <v>3.4846884899683211E-2</v>
      </c>
    </row>
    <row r="12" spans="1:16" x14ac:dyDescent="0.3">
      <c r="A12" s="37">
        <v>9</v>
      </c>
      <c r="B12" s="37" t="s">
        <v>40</v>
      </c>
      <c r="C12" s="37">
        <v>2</v>
      </c>
      <c r="D12" s="37">
        <v>1</v>
      </c>
      <c r="E12" s="37">
        <v>0</v>
      </c>
      <c r="F12" s="37">
        <v>3</v>
      </c>
      <c r="G12" s="37">
        <v>0</v>
      </c>
      <c r="H12" s="37">
        <v>4</v>
      </c>
      <c r="I12" s="37">
        <v>4</v>
      </c>
      <c r="J12" s="37">
        <v>2</v>
      </c>
      <c r="K12" s="37"/>
      <c r="L12" s="37"/>
      <c r="M12" s="37"/>
      <c r="N12" s="37"/>
      <c r="O12" s="37">
        <f t="shared" si="1"/>
        <v>16</v>
      </c>
      <c r="P12" s="38">
        <f t="shared" si="0"/>
        <v>1.6895459345300949E-2</v>
      </c>
    </row>
    <row r="13" spans="1:16" x14ac:dyDescent="0.3">
      <c r="A13" s="37">
        <v>10</v>
      </c>
      <c r="B13" s="37" t="s">
        <v>38</v>
      </c>
      <c r="C13" s="37">
        <v>0</v>
      </c>
      <c r="D13" s="37">
        <v>0</v>
      </c>
      <c r="E13" s="37">
        <v>0</v>
      </c>
      <c r="F13" s="37">
        <v>1</v>
      </c>
      <c r="G13" s="37">
        <v>5</v>
      </c>
      <c r="H13" s="37">
        <v>4</v>
      </c>
      <c r="I13" s="37">
        <v>3</v>
      </c>
      <c r="J13" s="37">
        <v>1</v>
      </c>
      <c r="K13" s="37"/>
      <c r="L13" s="37"/>
      <c r="M13" s="37"/>
      <c r="N13" s="37"/>
      <c r="O13" s="37">
        <f t="shared" si="1"/>
        <v>14</v>
      </c>
      <c r="P13" s="38">
        <f t="shared" si="0"/>
        <v>1.4783526927138331E-2</v>
      </c>
    </row>
    <row r="14" spans="1:16" x14ac:dyDescent="0.3">
      <c r="A14" s="37">
        <v>11</v>
      </c>
      <c r="B14" s="37" t="s">
        <v>41</v>
      </c>
      <c r="C14" s="37">
        <v>2</v>
      </c>
      <c r="D14" s="37">
        <v>0</v>
      </c>
      <c r="E14" s="37">
        <v>2</v>
      </c>
      <c r="F14" s="37">
        <v>1</v>
      </c>
      <c r="G14" s="37">
        <v>0</v>
      </c>
      <c r="H14" s="37">
        <v>0</v>
      </c>
      <c r="I14" s="37">
        <v>1</v>
      </c>
      <c r="J14" s="37">
        <v>0</v>
      </c>
      <c r="K14" s="37"/>
      <c r="L14" s="37"/>
      <c r="M14" s="37"/>
      <c r="N14" s="37"/>
      <c r="O14" s="37">
        <f t="shared" si="1"/>
        <v>6</v>
      </c>
      <c r="P14" s="38">
        <f t="shared" si="0"/>
        <v>6.3357972544878568E-3</v>
      </c>
    </row>
    <row r="15" spans="1:16" x14ac:dyDescent="0.3">
      <c r="A15" s="37">
        <v>12</v>
      </c>
      <c r="B15" s="37" t="s">
        <v>43</v>
      </c>
      <c r="C15" s="37">
        <v>1</v>
      </c>
      <c r="D15" s="37">
        <v>2</v>
      </c>
      <c r="E15" s="37">
        <v>1</v>
      </c>
      <c r="F15" s="37">
        <v>1</v>
      </c>
      <c r="G15" s="37">
        <v>1</v>
      </c>
      <c r="H15" s="37">
        <v>0</v>
      </c>
      <c r="I15" s="37">
        <v>0</v>
      </c>
      <c r="J15" s="37">
        <v>1</v>
      </c>
      <c r="K15" s="37"/>
      <c r="L15" s="37"/>
      <c r="M15" s="37"/>
      <c r="N15" s="37"/>
      <c r="O15" s="37">
        <f t="shared" si="1"/>
        <v>7</v>
      </c>
      <c r="P15" s="38">
        <f t="shared" si="0"/>
        <v>7.3917634635691657E-3</v>
      </c>
    </row>
    <row r="16" spans="1:16" x14ac:dyDescent="0.3">
      <c r="A16" s="161" t="s">
        <v>25</v>
      </c>
      <c r="B16" s="162"/>
      <c r="C16" s="37">
        <v>6</v>
      </c>
      <c r="D16" s="37">
        <v>4</v>
      </c>
      <c r="E16" s="37">
        <v>1</v>
      </c>
      <c r="F16" s="37">
        <v>1</v>
      </c>
      <c r="G16" s="37">
        <v>1</v>
      </c>
      <c r="H16" s="37">
        <v>2</v>
      </c>
      <c r="I16" s="37">
        <v>1</v>
      </c>
      <c r="J16" s="37">
        <v>1</v>
      </c>
      <c r="K16" s="37"/>
      <c r="L16" s="37"/>
      <c r="M16" s="37"/>
      <c r="N16" s="37"/>
      <c r="O16" s="37">
        <f t="shared" si="1"/>
        <v>17</v>
      </c>
      <c r="P16" s="38">
        <f t="shared" si="0"/>
        <v>1.7951425554382259E-2</v>
      </c>
    </row>
    <row r="17" spans="1:16" x14ac:dyDescent="0.3">
      <c r="A17" s="158" t="s">
        <v>26</v>
      </c>
      <c r="B17" s="158"/>
      <c r="C17" s="37">
        <f t="shared" ref="C17:J17" si="2">SUM(C4:C16)</f>
        <v>123</v>
      </c>
      <c r="D17" s="37">
        <f t="shared" si="2"/>
        <v>108</v>
      </c>
      <c r="E17" s="37">
        <f t="shared" si="2"/>
        <v>153</v>
      </c>
      <c r="F17" s="37">
        <f t="shared" si="2"/>
        <v>78</v>
      </c>
      <c r="G17" s="37">
        <f t="shared" si="2"/>
        <v>115</v>
      </c>
      <c r="H17" s="37">
        <f t="shared" si="2"/>
        <v>103</v>
      </c>
      <c r="I17" s="37">
        <f t="shared" si="2"/>
        <v>147</v>
      </c>
      <c r="J17" s="37">
        <f t="shared" si="2"/>
        <v>137</v>
      </c>
      <c r="K17" s="37">
        <f t="shared" ref="K17:O17" si="3">SUM(K4:K15)</f>
        <v>0</v>
      </c>
      <c r="L17" s="37">
        <f t="shared" si="3"/>
        <v>0</v>
      </c>
      <c r="M17" s="37">
        <f t="shared" si="3"/>
        <v>0</v>
      </c>
      <c r="N17" s="37">
        <f t="shared" si="3"/>
        <v>0</v>
      </c>
      <c r="O17" s="37">
        <f t="shared" si="3"/>
        <v>947</v>
      </c>
      <c r="P17" s="38">
        <f>O17/$O$17</f>
        <v>1</v>
      </c>
    </row>
    <row r="20" spans="1:16" x14ac:dyDescent="0.3">
      <c r="B20" s="36" t="s">
        <v>99</v>
      </c>
      <c r="C20" s="36">
        <v>1</v>
      </c>
      <c r="D20" s="36">
        <v>0</v>
      </c>
      <c r="E20" s="36">
        <v>3</v>
      </c>
      <c r="F20" s="36">
        <v>2</v>
      </c>
      <c r="G20" s="36">
        <v>1</v>
      </c>
      <c r="H20" s="36">
        <v>2</v>
      </c>
      <c r="I20" s="36">
        <v>4</v>
      </c>
      <c r="J20" s="36">
        <v>5</v>
      </c>
    </row>
    <row r="21" spans="1:16" x14ac:dyDescent="0.3">
      <c r="B21" s="36" t="s">
        <v>100</v>
      </c>
      <c r="C21" s="36">
        <f>C5-C20</f>
        <v>7</v>
      </c>
      <c r="D21" s="36">
        <f t="shared" ref="D21:N21" si="4">D5-D20</f>
        <v>6</v>
      </c>
      <c r="E21" s="36">
        <f t="shared" si="4"/>
        <v>11</v>
      </c>
      <c r="F21" s="36">
        <f t="shared" si="4"/>
        <v>10</v>
      </c>
      <c r="G21" s="36">
        <f t="shared" si="4"/>
        <v>7</v>
      </c>
      <c r="H21" s="36">
        <f t="shared" si="4"/>
        <v>8</v>
      </c>
      <c r="I21" s="36">
        <f t="shared" si="4"/>
        <v>6</v>
      </c>
      <c r="J21" s="36">
        <f t="shared" si="4"/>
        <v>6</v>
      </c>
      <c r="K21" s="36">
        <f t="shared" si="4"/>
        <v>0</v>
      </c>
      <c r="L21" s="36">
        <f t="shared" si="4"/>
        <v>0</v>
      </c>
      <c r="M21" s="36">
        <f t="shared" si="4"/>
        <v>0</v>
      </c>
      <c r="N21" s="36">
        <f t="shared" si="4"/>
        <v>0</v>
      </c>
    </row>
    <row r="22" spans="1:16" x14ac:dyDescent="0.3">
      <c r="B22" s="36" t="s">
        <v>101</v>
      </c>
      <c r="C22" s="117">
        <f>C20/C5</f>
        <v>0.125</v>
      </c>
      <c r="D22" s="117">
        <f t="shared" ref="D22:N22" si="5">D20/D5</f>
        <v>0</v>
      </c>
      <c r="E22" s="117">
        <f t="shared" si="5"/>
        <v>0.21428571428571427</v>
      </c>
      <c r="F22" s="117">
        <f t="shared" si="5"/>
        <v>0.16666666666666666</v>
      </c>
      <c r="G22" s="117">
        <f t="shared" si="5"/>
        <v>0.125</v>
      </c>
      <c r="H22" s="117">
        <f t="shared" si="5"/>
        <v>0.2</v>
      </c>
      <c r="I22" s="117">
        <f t="shared" si="5"/>
        <v>0.4</v>
      </c>
      <c r="J22" s="117">
        <f t="shared" si="5"/>
        <v>0.45454545454545453</v>
      </c>
      <c r="K22" s="117" t="e">
        <f t="shared" si="5"/>
        <v>#DIV/0!</v>
      </c>
      <c r="L22" s="117" t="e">
        <f t="shared" si="5"/>
        <v>#DIV/0!</v>
      </c>
      <c r="M22" s="117" t="e">
        <f t="shared" si="5"/>
        <v>#DIV/0!</v>
      </c>
      <c r="N22" s="117" t="e">
        <f t="shared" si="5"/>
        <v>#DIV/0!</v>
      </c>
      <c r="O22" s="117"/>
    </row>
    <row r="23" spans="1:16" x14ac:dyDescent="0.3">
      <c r="B23" s="36" t="s">
        <v>102</v>
      </c>
      <c r="C23" s="117">
        <f>C21/C5</f>
        <v>0.875</v>
      </c>
      <c r="D23" s="117">
        <f t="shared" ref="D23:N23" si="6">D21/D5</f>
        <v>1</v>
      </c>
      <c r="E23" s="117">
        <f t="shared" si="6"/>
        <v>0.7857142857142857</v>
      </c>
      <c r="F23" s="117">
        <f t="shared" si="6"/>
        <v>0.83333333333333337</v>
      </c>
      <c r="G23" s="117">
        <f t="shared" si="6"/>
        <v>0.875</v>
      </c>
      <c r="H23" s="117">
        <f t="shared" si="6"/>
        <v>0.8</v>
      </c>
      <c r="I23" s="117">
        <f t="shared" si="6"/>
        <v>0.6</v>
      </c>
      <c r="J23" s="117">
        <f t="shared" si="6"/>
        <v>0.54545454545454541</v>
      </c>
      <c r="K23" s="117" t="e">
        <f t="shared" si="6"/>
        <v>#DIV/0!</v>
      </c>
      <c r="L23" s="117" t="e">
        <f t="shared" si="6"/>
        <v>#DIV/0!</v>
      </c>
      <c r="M23" s="117" t="e">
        <f t="shared" si="6"/>
        <v>#DIV/0!</v>
      </c>
      <c r="N23" s="117" t="e">
        <f t="shared" si="6"/>
        <v>#DIV/0!</v>
      </c>
      <c r="O23" s="117"/>
    </row>
  </sheetData>
  <sortState xmlns:xlrd2="http://schemas.microsoft.com/office/spreadsheetml/2017/richdata2" ref="A4:O15">
    <sortCondition ref="B4:B15" customList="MARUTI SUZUKI INDIA LTD,HYUNDAI MOTOR INDIA LTD,TATA MOTORS PASSENGER VEHICLES LTD,KIA MOTORS INDIA PVT LTD,TOYOTA KIRLOSKAR MOTOR PVT LTD,MAHINDRA &amp; MAHINDRA LIMITED,HONDA CARS INDIA LTD,NISSAN MOTOR INDIA PVT LTD,SKODA AUTO VOLKSWAGEN INDIA PVT LTD,TATA PASSENGER ELECTRIC MOBILITY LTD,RENAULT INDIA PVT LTD,MG MOTOR INDIA PVT LTD"/>
  </sortState>
  <mergeCells count="8">
    <mergeCell ref="A17:B17"/>
    <mergeCell ref="C2:N2"/>
    <mergeCell ref="P2:P3"/>
    <mergeCell ref="A1:O1"/>
    <mergeCell ref="A2:A3"/>
    <mergeCell ref="B2:B3"/>
    <mergeCell ref="O2:O3"/>
    <mergeCell ref="A16:B16"/>
  </mergeCells>
  <printOptions gridLines="1"/>
  <pageMargins left="0.7" right="0.7" top="0.75" bottom="0.75" header="0.3" footer="0.3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5B99-BAED-4A2D-98E0-CBB538F436C0}">
  <dimension ref="A1:P23"/>
  <sheetViews>
    <sheetView workbookViewId="0">
      <selection activeCell="K4" sqref="K4"/>
    </sheetView>
  </sheetViews>
  <sheetFormatPr defaultRowHeight="13.2" x14ac:dyDescent="0.25"/>
  <cols>
    <col min="1" max="1" width="5.44140625" style="41" bestFit="1" customWidth="1"/>
    <col min="2" max="2" width="44.44140625" style="41" bestFit="1" customWidth="1"/>
    <col min="3" max="5" width="5.88671875" style="41" bestFit="1" customWidth="1"/>
    <col min="6" max="6" width="5" style="41" bestFit="1" customWidth="1"/>
    <col min="7" max="10" width="5.88671875" style="41" bestFit="1" customWidth="1"/>
    <col min="11" max="14" width="8.33203125" style="41" bestFit="1" customWidth="1"/>
    <col min="15" max="15" width="14.5546875" style="41" bestFit="1" customWidth="1"/>
    <col min="16" max="16" width="6" style="41" bestFit="1" customWidth="1"/>
    <col min="17" max="16384" width="8.88671875" style="41"/>
  </cols>
  <sheetData>
    <row r="1" spans="1:16" x14ac:dyDescent="0.25">
      <c r="A1" s="159" t="s">
        <v>60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40"/>
    </row>
    <row r="2" spans="1:16" x14ac:dyDescent="0.25">
      <c r="A2" s="159" t="s">
        <v>52</v>
      </c>
      <c r="B2" s="159" t="s">
        <v>51</v>
      </c>
      <c r="C2" s="159" t="s">
        <v>50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 t="s">
        <v>49</v>
      </c>
      <c r="P2" s="163" t="s">
        <v>22</v>
      </c>
    </row>
    <row r="3" spans="1:16" x14ac:dyDescent="0.25">
      <c r="A3" s="159"/>
      <c r="B3" s="159"/>
      <c r="C3" s="39" t="s">
        <v>29</v>
      </c>
      <c r="D3" s="39" t="s">
        <v>17</v>
      </c>
      <c r="E3" s="39" t="s">
        <v>30</v>
      </c>
      <c r="F3" s="39" t="s">
        <v>14</v>
      </c>
      <c r="G3" s="39" t="s">
        <v>20</v>
      </c>
      <c r="H3" s="39" t="s">
        <v>21</v>
      </c>
      <c r="I3" s="39" t="s">
        <v>31</v>
      </c>
      <c r="J3" s="39" t="s">
        <v>32</v>
      </c>
      <c r="K3" s="39" t="s">
        <v>33</v>
      </c>
      <c r="L3" s="39" t="s">
        <v>34</v>
      </c>
      <c r="M3" s="39" t="s">
        <v>35</v>
      </c>
      <c r="N3" s="39" t="s">
        <v>36</v>
      </c>
      <c r="O3" s="159"/>
      <c r="P3" s="163"/>
    </row>
    <row r="4" spans="1:16" x14ac:dyDescent="0.25">
      <c r="A4" s="37">
        <v>1</v>
      </c>
      <c r="B4" s="37" t="s">
        <v>44</v>
      </c>
      <c r="C4" s="37">
        <f>Malappuram!C4+Kondotty!C4+Nilambur!C4+Perinthalmanna!C4+Thirurangadi!C4+Tirur!C4+Ponnani!C4</f>
        <v>904</v>
      </c>
      <c r="D4" s="37">
        <f>Malappuram!D4+Kondotty!D4+Nilambur!D4+Perinthalmanna!D4+Thirurangadi!D4+Tirur!D4+Ponnani!D4</f>
        <v>682</v>
      </c>
      <c r="E4" s="37">
        <f>Malappuram!E4+Kondotty!E4+Nilambur!E4+Perinthalmanna!E4+Thirurangadi!E4+Tirur!E4+Ponnani!E4</f>
        <v>1113</v>
      </c>
      <c r="F4" s="37">
        <f>Malappuram!F4+Kondotty!F4+Nilambur!F4+Perinthalmanna!F4+Thirurangadi!F4+Tirur!F4+Ponnani!F4</f>
        <v>423</v>
      </c>
      <c r="G4" s="37">
        <f>Malappuram!G4+Kondotty!G4+Nilambur!G4+Perinthalmanna!G4+Thirurangadi!G4+Tirur!G4+Ponnani!G4</f>
        <v>702</v>
      </c>
      <c r="H4" s="37">
        <f>Malappuram!H4+Kondotty!H4+Nilambur!H4+Perinthalmanna!H4+Thirurangadi!H4+Tirur!H4+Ponnani!H4</f>
        <v>802</v>
      </c>
      <c r="I4" s="37">
        <f>Malappuram!I4+Kondotty!I4+Nilambur!I4+Perinthalmanna!I4+Thirurangadi!I4+Tirur!I4+Ponnani!I4</f>
        <v>890</v>
      </c>
      <c r="J4" s="37">
        <f>Malappuram!J4+Kondotty!J4+Nilambur!J4+Perinthalmanna!J4+Thirurangadi!J4+Tirur!J4+Ponnani!J4</f>
        <v>977</v>
      </c>
      <c r="K4" s="37">
        <f>Malappuram!K4+Kondotty!K4+Nilambur!K4+Perinthalmanna!K4+Thirurangadi!K4+Tirur!K4+Ponnani!K4</f>
        <v>0</v>
      </c>
      <c r="L4" s="37">
        <f>Malappuram!L4+Kondotty!L4+Nilambur!L4+Perinthalmanna!L4+Thirurangadi!L4+Tirur!L4+Ponnani!L4</f>
        <v>0</v>
      </c>
      <c r="M4" s="37">
        <f>Malappuram!M4+Kondotty!M4+Nilambur!M4+Perinthalmanna!M4+Thirurangadi!M4+Tirur!M4+Ponnani!M4</f>
        <v>0</v>
      </c>
      <c r="N4" s="37">
        <f>Malappuram!N4+Kondotty!N4+Nilambur!N4+Perinthalmanna!N4+Thirurangadi!N4+Tirur!N4+Ponnani!N4</f>
        <v>0</v>
      </c>
      <c r="O4" s="39">
        <f>SUM(C4:N4)</f>
        <v>6493</v>
      </c>
      <c r="P4" s="42">
        <f t="shared" ref="P4:P15" si="0">O4/$O$17</f>
        <v>0.60523862788963456</v>
      </c>
    </row>
    <row r="5" spans="1:16" x14ac:dyDescent="0.25">
      <c r="A5" s="118">
        <v>2</v>
      </c>
      <c r="B5" s="118" t="s">
        <v>47</v>
      </c>
      <c r="C5" s="118">
        <f>Malappuram!C5+Kondotty!C5+Nilambur!C5+Perinthalmanna!C5+Thirurangadi!C5+Tirur!C5+Ponnani!C5</f>
        <v>109</v>
      </c>
      <c r="D5" s="118">
        <f>Malappuram!D5+Kondotty!D5+Nilambur!D5+Perinthalmanna!D5+Thirurangadi!D5+Tirur!D5+Ponnani!D5</f>
        <v>103</v>
      </c>
      <c r="E5" s="118">
        <f>Malappuram!E5+Kondotty!E5+Nilambur!E5+Perinthalmanna!E5+Thirurangadi!E5+Tirur!E5+Ponnani!E5</f>
        <v>157</v>
      </c>
      <c r="F5" s="118">
        <f>Malappuram!F5+Kondotty!F5+Nilambur!F5+Perinthalmanna!F5+Thirurangadi!F5+Tirur!F5+Ponnani!F5</f>
        <v>76</v>
      </c>
      <c r="G5" s="118">
        <f>Malappuram!G5+Kondotty!G5+Nilambur!G5+Perinthalmanna!G5+Thirurangadi!G5+Tirur!G5+Ponnani!G5</f>
        <v>115</v>
      </c>
      <c r="H5" s="118">
        <f>Malappuram!H5+Kondotty!H5+Nilambur!H5+Perinthalmanna!H5+Thirurangadi!H5+Tirur!H5+Ponnani!H5</f>
        <v>113</v>
      </c>
      <c r="I5" s="118">
        <f>Malappuram!I5+Kondotty!I5+Nilambur!I5+Perinthalmanna!I5+Thirurangadi!I5+Tirur!I5+Ponnani!I5</f>
        <v>126</v>
      </c>
      <c r="J5" s="118">
        <f>Malappuram!J5+Kondotty!J5+Nilambur!J5+Perinthalmanna!J5+Thirurangadi!J5+Tirur!J5+Ponnani!J5</f>
        <v>146</v>
      </c>
      <c r="K5" s="118">
        <f>Malappuram!K5+Kondotty!K5+Nilambur!K5+Perinthalmanna!K5+Thirurangadi!K5+Tirur!K5+Ponnani!K5</f>
        <v>0</v>
      </c>
      <c r="L5" s="118">
        <f>Malappuram!L5+Kondotty!L5+Nilambur!L5+Perinthalmanna!L5+Thirurangadi!L5+Tirur!L5+Ponnani!L5</f>
        <v>0</v>
      </c>
      <c r="M5" s="118">
        <f>Malappuram!M5+Kondotty!M5+Nilambur!M5+Perinthalmanna!M5+Thirurangadi!M5+Tirur!M5+Ponnani!M5</f>
        <v>0</v>
      </c>
      <c r="N5" s="118">
        <f>Malappuram!N5+Kondotty!N5+Nilambur!N5+Perinthalmanna!N5+Thirurangadi!N5+Tirur!N5+Ponnani!N5</f>
        <v>0</v>
      </c>
      <c r="O5" s="120">
        <f t="shared" ref="O5:O17" si="1">SUM(C5:N5)</f>
        <v>945</v>
      </c>
      <c r="P5" s="121">
        <f t="shared" si="0"/>
        <v>8.8087248322147649E-2</v>
      </c>
    </row>
    <row r="6" spans="1:16" x14ac:dyDescent="0.25">
      <c r="A6" s="37">
        <v>3</v>
      </c>
      <c r="B6" s="37" t="s">
        <v>39</v>
      </c>
      <c r="C6" s="37">
        <f>Malappuram!C6+Kondotty!C6+Nilambur!C6+Perinthalmanna!C6+Thirurangadi!C6+Tirur!C6+Ponnani!C6</f>
        <v>109</v>
      </c>
      <c r="D6" s="37">
        <f>Malappuram!D6+Kondotty!D6+Nilambur!D6+Perinthalmanna!D6+Thirurangadi!D6+Tirur!D6+Ponnani!D6</f>
        <v>101</v>
      </c>
      <c r="E6" s="37">
        <f>Malappuram!E6+Kondotty!E6+Nilambur!E6+Perinthalmanna!E6+Thirurangadi!E6+Tirur!E6+Ponnani!E6</f>
        <v>168</v>
      </c>
      <c r="F6" s="37">
        <f>Malappuram!F6+Kondotty!F6+Nilambur!F6+Perinthalmanna!F6+Thirurangadi!F6+Tirur!F6+Ponnani!F6</f>
        <v>97</v>
      </c>
      <c r="G6" s="37">
        <f>Malappuram!G6+Kondotty!G6+Nilambur!G6+Perinthalmanna!G6+Thirurangadi!G6+Tirur!G6+Ponnani!G6</f>
        <v>48</v>
      </c>
      <c r="H6" s="37">
        <f>Malappuram!H6+Kondotty!H6+Nilambur!H6+Perinthalmanna!H6+Thirurangadi!H6+Tirur!H6+Ponnani!H6</f>
        <v>58</v>
      </c>
      <c r="I6" s="37">
        <f>Malappuram!I6+Kondotty!I6+Nilambur!I6+Perinthalmanna!I6+Thirurangadi!I6+Tirur!I6+Ponnani!I6</f>
        <v>65</v>
      </c>
      <c r="J6" s="37">
        <f>Malappuram!J6+Kondotty!J6+Nilambur!J6+Perinthalmanna!J6+Thirurangadi!J6+Tirur!J6+Ponnani!J6</f>
        <v>73</v>
      </c>
      <c r="K6" s="37">
        <f>Malappuram!K6+Kondotty!K6+Nilambur!K6+Perinthalmanna!K6+Thirurangadi!K6+Tirur!K6+Ponnani!K6</f>
        <v>0</v>
      </c>
      <c r="L6" s="37">
        <f>Malappuram!L6+Kondotty!L6+Nilambur!L6+Perinthalmanna!L6+Thirurangadi!L6+Tirur!L6+Ponnani!L6</f>
        <v>0</v>
      </c>
      <c r="M6" s="37">
        <f>Malappuram!M6+Kondotty!M6+Nilambur!M6+Perinthalmanna!M6+Thirurangadi!M6+Tirur!M6+Ponnani!M6</f>
        <v>0</v>
      </c>
      <c r="N6" s="37">
        <f>Malappuram!N6+Kondotty!N6+Nilambur!N6+Perinthalmanna!N6+Thirurangadi!N6+Tirur!N6+Ponnani!N6</f>
        <v>0</v>
      </c>
      <c r="O6" s="39">
        <f t="shared" si="1"/>
        <v>719</v>
      </c>
      <c r="P6" s="42">
        <f t="shared" si="0"/>
        <v>6.7020879940343031E-2</v>
      </c>
    </row>
    <row r="7" spans="1:16" x14ac:dyDescent="0.25">
      <c r="A7" s="37">
        <v>4</v>
      </c>
      <c r="B7" s="37" t="s">
        <v>46</v>
      </c>
      <c r="C7" s="37">
        <f>Malappuram!C7+Kondotty!C7+Nilambur!C7+Perinthalmanna!C7+Thirurangadi!C7+Tirur!C7+Ponnani!C7</f>
        <v>72</v>
      </c>
      <c r="D7" s="37">
        <f>Malappuram!D7+Kondotty!D7+Nilambur!D7+Perinthalmanna!D7+Thirurangadi!D7+Tirur!D7+Ponnani!D7</f>
        <v>58</v>
      </c>
      <c r="E7" s="37">
        <f>Malappuram!E7+Kondotty!E7+Nilambur!E7+Perinthalmanna!E7+Thirurangadi!E7+Tirur!E7+Ponnani!E7</f>
        <v>110</v>
      </c>
      <c r="F7" s="37">
        <f>Malappuram!F7+Kondotty!F7+Nilambur!F7+Perinthalmanna!F7+Thirurangadi!F7+Tirur!F7+Ponnani!F7</f>
        <v>37</v>
      </c>
      <c r="G7" s="37">
        <f>Malappuram!G7+Kondotty!G7+Nilambur!G7+Perinthalmanna!G7+Thirurangadi!G7+Tirur!G7+Ponnani!G7</f>
        <v>62</v>
      </c>
      <c r="H7" s="37">
        <f>Malappuram!H7+Kondotty!H7+Nilambur!H7+Perinthalmanna!H7+Thirurangadi!H7+Tirur!H7+Ponnani!H7</f>
        <v>66</v>
      </c>
      <c r="I7" s="37">
        <f>Malappuram!I7+Kondotty!I7+Nilambur!I7+Perinthalmanna!I7+Thirurangadi!I7+Tirur!I7+Ponnani!I7</f>
        <v>74</v>
      </c>
      <c r="J7" s="37">
        <f>Malappuram!J7+Kondotty!J7+Nilambur!J7+Perinthalmanna!J7+Thirurangadi!J7+Tirur!J7+Ponnani!J7</f>
        <v>66</v>
      </c>
      <c r="K7" s="37">
        <f>Malappuram!K7+Kondotty!K7+Nilambur!K7+Perinthalmanna!K7+Thirurangadi!K7+Tirur!K7+Ponnani!K7</f>
        <v>0</v>
      </c>
      <c r="L7" s="37">
        <f>Malappuram!L7+Kondotty!L7+Nilambur!L7+Perinthalmanna!L7+Thirurangadi!L7+Tirur!L7+Ponnani!L7</f>
        <v>0</v>
      </c>
      <c r="M7" s="37">
        <f>Malappuram!M7+Kondotty!M7+Nilambur!M7+Perinthalmanna!M7+Thirurangadi!M7+Tirur!M7+Ponnani!M7</f>
        <v>0</v>
      </c>
      <c r="N7" s="37">
        <f>Malappuram!N7+Kondotty!N7+Nilambur!N7+Perinthalmanna!N7+Thirurangadi!N7+Tirur!N7+Ponnani!N7</f>
        <v>0</v>
      </c>
      <c r="O7" s="39">
        <f t="shared" si="1"/>
        <v>545</v>
      </c>
      <c r="P7" s="42">
        <f t="shared" si="0"/>
        <v>5.0801640566741239E-2</v>
      </c>
    </row>
    <row r="8" spans="1:16" x14ac:dyDescent="0.25">
      <c r="A8" s="37">
        <v>5</v>
      </c>
      <c r="B8" s="37" t="s">
        <v>37</v>
      </c>
      <c r="C8" s="37">
        <f>Malappuram!C8+Kondotty!C8+Nilambur!C8+Perinthalmanna!C8+Thirurangadi!C8+Tirur!C8+Ponnani!C8</f>
        <v>88</v>
      </c>
      <c r="D8" s="37">
        <f>Malappuram!D8+Kondotty!D8+Nilambur!D8+Perinthalmanna!D8+Thirurangadi!D8+Tirur!D8+Ponnani!D8</f>
        <v>98</v>
      </c>
      <c r="E8" s="37">
        <f>Malappuram!E8+Kondotty!E8+Nilambur!E8+Perinthalmanna!E8+Thirurangadi!E8+Tirur!E8+Ponnani!E8</f>
        <v>84</v>
      </c>
      <c r="F8" s="37">
        <f>Malappuram!F8+Kondotty!F8+Nilambur!F8+Perinthalmanna!F8+Thirurangadi!F8+Tirur!F8+Ponnani!F8</f>
        <v>49</v>
      </c>
      <c r="G8" s="37">
        <f>Malappuram!G8+Kondotty!G8+Nilambur!G8+Perinthalmanna!G8+Thirurangadi!G8+Tirur!G8+Ponnani!G8</f>
        <v>108</v>
      </c>
      <c r="H8" s="37">
        <f>Malappuram!H8+Kondotty!H8+Nilambur!H8+Perinthalmanna!H8+Thirurangadi!H8+Tirur!H8+Ponnani!H8</f>
        <v>89</v>
      </c>
      <c r="I8" s="37">
        <f>Malappuram!I8+Kondotty!I8+Nilambur!I8+Perinthalmanna!I8+Thirurangadi!I8+Tirur!I8+Ponnani!I8</f>
        <v>108</v>
      </c>
      <c r="J8" s="37">
        <f>Malappuram!J8+Kondotty!J8+Nilambur!J8+Perinthalmanna!J8+Thirurangadi!J8+Tirur!J8+Ponnani!J8</f>
        <v>94</v>
      </c>
      <c r="K8" s="37">
        <f>Malappuram!K8+Kondotty!K8+Nilambur!K8+Perinthalmanna!K8+Thirurangadi!K8+Tirur!K8+Ponnani!K8</f>
        <v>0</v>
      </c>
      <c r="L8" s="37">
        <f>Malappuram!L8+Kondotty!L8+Nilambur!L8+Perinthalmanna!L8+Thirurangadi!L8+Tirur!L8+Ponnani!L8</f>
        <v>0</v>
      </c>
      <c r="M8" s="37">
        <f>Malappuram!M8+Kondotty!M8+Nilambur!M8+Perinthalmanna!M8+Thirurangadi!M8+Tirur!M8+Ponnani!M8</f>
        <v>0</v>
      </c>
      <c r="N8" s="37">
        <f>Malappuram!N8+Kondotty!N8+Nilambur!N8+Perinthalmanna!N8+Thirurangadi!N8+Tirur!N8+Ponnani!N8</f>
        <v>0</v>
      </c>
      <c r="O8" s="39">
        <f t="shared" si="1"/>
        <v>718</v>
      </c>
      <c r="P8" s="42">
        <f t="shared" si="0"/>
        <v>6.6927665920954518E-2</v>
      </c>
    </row>
    <row r="9" spans="1:16" x14ac:dyDescent="0.25">
      <c r="A9" s="37">
        <v>6</v>
      </c>
      <c r="B9" s="37" t="s">
        <v>45</v>
      </c>
      <c r="C9" s="37">
        <f>Malappuram!C9+Kondotty!C9+Nilambur!C9+Perinthalmanna!C9+Thirurangadi!C9+Tirur!C9+Ponnani!C9</f>
        <v>39</v>
      </c>
      <c r="D9" s="37">
        <f>Malappuram!D9+Kondotty!D9+Nilambur!D9+Perinthalmanna!D9+Thirurangadi!D9+Tirur!D9+Ponnani!D9</f>
        <v>28</v>
      </c>
      <c r="E9" s="37">
        <f>Malappuram!E9+Kondotty!E9+Nilambur!E9+Perinthalmanna!E9+Thirurangadi!E9+Tirur!E9+Ponnani!E9</f>
        <v>45</v>
      </c>
      <c r="F9" s="37">
        <f>Malappuram!F9+Kondotty!F9+Nilambur!F9+Perinthalmanna!F9+Thirurangadi!F9+Tirur!F9+Ponnani!F9</f>
        <v>31</v>
      </c>
      <c r="G9" s="37">
        <f>Malappuram!G9+Kondotty!G9+Nilambur!G9+Perinthalmanna!G9+Thirurangadi!G9+Tirur!G9+Ponnani!G9</f>
        <v>31</v>
      </c>
      <c r="H9" s="37">
        <f>Malappuram!H9+Kondotty!H9+Nilambur!H9+Perinthalmanna!H9+Thirurangadi!H9+Tirur!H9+Ponnani!H9</f>
        <v>41</v>
      </c>
      <c r="I9" s="37">
        <f>Malappuram!I9+Kondotty!I9+Nilambur!I9+Perinthalmanna!I9+Thirurangadi!I9+Tirur!I9+Ponnani!I9</f>
        <v>30</v>
      </c>
      <c r="J9" s="37">
        <f>Malappuram!J9+Kondotty!J9+Nilambur!J9+Perinthalmanna!J9+Thirurangadi!J9+Tirur!J9+Ponnani!J9</f>
        <v>35</v>
      </c>
      <c r="K9" s="37">
        <f>Malappuram!K9+Kondotty!K9+Nilambur!K9+Perinthalmanna!K9+Thirurangadi!K9+Tirur!K9+Ponnani!K9</f>
        <v>0</v>
      </c>
      <c r="L9" s="37">
        <f>Malappuram!L9+Kondotty!L9+Nilambur!L9+Perinthalmanna!L9+Thirurangadi!L9+Tirur!L9+Ponnani!L9</f>
        <v>0</v>
      </c>
      <c r="M9" s="37">
        <f>Malappuram!M9+Kondotty!M9+Nilambur!M9+Perinthalmanna!M9+Thirurangadi!M9+Tirur!M9+Ponnani!M9</f>
        <v>0</v>
      </c>
      <c r="N9" s="37">
        <f>Malappuram!N9+Kondotty!N9+Nilambur!N9+Perinthalmanna!N9+Thirurangadi!N9+Tirur!N9+Ponnani!N9</f>
        <v>0</v>
      </c>
      <c r="O9" s="39">
        <f t="shared" si="1"/>
        <v>280</v>
      </c>
      <c r="P9" s="42">
        <f t="shared" si="0"/>
        <v>2.609992542878449E-2</v>
      </c>
    </row>
    <row r="10" spans="1:16" x14ac:dyDescent="0.25">
      <c r="A10" s="37">
        <v>7</v>
      </c>
      <c r="B10" s="37" t="s">
        <v>48</v>
      </c>
      <c r="C10" s="37">
        <f>Malappuram!C10+Kondotty!C10+Nilambur!C10+Perinthalmanna!C10+Thirurangadi!C10+Tirur!C10+Ponnani!C10</f>
        <v>30</v>
      </c>
      <c r="D10" s="37">
        <f>Malappuram!D10+Kondotty!D10+Nilambur!D10+Perinthalmanna!D10+Thirurangadi!D10+Tirur!D10+Ponnani!D10</f>
        <v>20</v>
      </c>
      <c r="E10" s="37">
        <f>Malappuram!E10+Kondotty!E10+Nilambur!E10+Perinthalmanna!E10+Thirurangadi!E10+Tirur!E10+Ponnani!E10</f>
        <v>40</v>
      </c>
      <c r="F10" s="37">
        <f>Malappuram!F10+Kondotty!F10+Nilambur!F10+Perinthalmanna!F10+Thirurangadi!F10+Tirur!F10+Ponnani!F10</f>
        <v>15</v>
      </c>
      <c r="G10" s="37">
        <f>Malappuram!G10+Kondotty!G10+Nilambur!G10+Perinthalmanna!G10+Thirurangadi!G10+Tirur!G10+Ponnani!G10</f>
        <v>28</v>
      </c>
      <c r="H10" s="37">
        <f>Malappuram!H10+Kondotty!H10+Nilambur!H10+Perinthalmanna!H10+Thirurangadi!H10+Tirur!H10+Ponnani!H10</f>
        <v>20</v>
      </c>
      <c r="I10" s="37">
        <f>Malappuram!I10+Kondotty!I10+Nilambur!I10+Perinthalmanna!I10+Thirurangadi!I10+Tirur!I10+Ponnani!I10</f>
        <v>37</v>
      </c>
      <c r="J10" s="37">
        <f>Malappuram!J10+Kondotty!J10+Nilambur!J10+Perinthalmanna!J10+Thirurangadi!J10+Tirur!J10+Ponnani!J10</f>
        <v>25</v>
      </c>
      <c r="K10" s="37">
        <f>Malappuram!K10+Kondotty!K10+Nilambur!K10+Perinthalmanna!K10+Thirurangadi!K10+Tirur!K10+Ponnani!K10</f>
        <v>0</v>
      </c>
      <c r="L10" s="37">
        <f>Malappuram!L10+Kondotty!L10+Nilambur!L10+Perinthalmanna!L10+Thirurangadi!L10+Tirur!L10+Ponnani!L10</f>
        <v>0</v>
      </c>
      <c r="M10" s="37">
        <f>Malappuram!M10+Kondotty!M10+Nilambur!M10+Perinthalmanna!M10+Thirurangadi!M10+Tirur!M10+Ponnani!M10</f>
        <v>0</v>
      </c>
      <c r="N10" s="37">
        <f>Malappuram!N10+Kondotty!N10+Nilambur!N10+Perinthalmanna!N10+Thirurangadi!N10+Tirur!N10+Ponnani!N10</f>
        <v>0</v>
      </c>
      <c r="O10" s="39">
        <f t="shared" si="1"/>
        <v>215</v>
      </c>
      <c r="P10" s="42">
        <f t="shared" si="0"/>
        <v>2.0041014168530945E-2</v>
      </c>
    </row>
    <row r="11" spans="1:16" x14ac:dyDescent="0.25">
      <c r="A11" s="37">
        <v>8</v>
      </c>
      <c r="B11" s="37" t="s">
        <v>42</v>
      </c>
      <c r="C11" s="37">
        <f>Malappuram!C11+Kondotty!C11+Nilambur!C11+Perinthalmanna!C11+Thirurangadi!C11+Tirur!C11+Ponnani!C11</f>
        <v>33</v>
      </c>
      <c r="D11" s="37">
        <f>Malappuram!D11+Kondotty!D11+Nilambur!D11+Perinthalmanna!D11+Thirurangadi!D11+Tirur!D11+Ponnani!D11</f>
        <v>22</v>
      </c>
      <c r="E11" s="37">
        <f>Malappuram!E11+Kondotty!E11+Nilambur!E11+Perinthalmanna!E11+Thirurangadi!E11+Tirur!E11+Ponnani!E11</f>
        <v>31</v>
      </c>
      <c r="F11" s="37">
        <f>Malappuram!F11+Kondotty!F11+Nilambur!F11+Perinthalmanna!F11+Thirurangadi!F11+Tirur!F11+Ponnani!F11</f>
        <v>12</v>
      </c>
      <c r="G11" s="37">
        <f>Malappuram!G11+Kondotty!G11+Nilambur!G11+Perinthalmanna!G11+Thirurangadi!G11+Tirur!G11+Ponnani!G11</f>
        <v>19</v>
      </c>
      <c r="H11" s="37">
        <f>Malappuram!H11+Kondotty!H11+Nilambur!H11+Perinthalmanna!H11+Thirurangadi!H11+Tirur!H11+Ponnani!H11</f>
        <v>25</v>
      </c>
      <c r="I11" s="37">
        <f>Malappuram!I11+Kondotty!I11+Nilambur!I11+Perinthalmanna!I11+Thirurangadi!I11+Tirur!I11+Ponnani!I11</f>
        <v>35</v>
      </c>
      <c r="J11" s="37">
        <f>Malappuram!J11+Kondotty!J11+Nilambur!J11+Perinthalmanna!J11+Thirurangadi!J11+Tirur!J11+Ponnani!J11</f>
        <v>26</v>
      </c>
      <c r="K11" s="37">
        <f>Malappuram!K11+Kondotty!K11+Nilambur!K11+Perinthalmanna!K11+Thirurangadi!K11+Tirur!K11+Ponnani!K11</f>
        <v>0</v>
      </c>
      <c r="L11" s="37">
        <f>Malappuram!L11+Kondotty!L11+Nilambur!L11+Perinthalmanna!L11+Thirurangadi!L11+Tirur!L11+Ponnani!L11</f>
        <v>0</v>
      </c>
      <c r="M11" s="37">
        <f>Malappuram!M11+Kondotty!M11+Nilambur!M11+Perinthalmanna!M11+Thirurangadi!M11+Tirur!M11+Ponnani!M11</f>
        <v>0</v>
      </c>
      <c r="N11" s="37">
        <f>Malappuram!N11+Kondotty!N11+Nilambur!N11+Perinthalmanna!N11+Thirurangadi!N11+Tirur!N11+Ponnani!N11</f>
        <v>0</v>
      </c>
      <c r="O11" s="39">
        <f t="shared" si="1"/>
        <v>203</v>
      </c>
      <c r="P11" s="42">
        <f t="shared" si="0"/>
        <v>1.8922445935868754E-2</v>
      </c>
    </row>
    <row r="12" spans="1:16" x14ac:dyDescent="0.25">
      <c r="A12" s="37">
        <v>9</v>
      </c>
      <c r="B12" s="37" t="s">
        <v>40</v>
      </c>
      <c r="C12" s="37">
        <f>Malappuram!C12+Kondotty!C12+Nilambur!C12+Perinthalmanna!C12+Thirurangadi!C12+Tirur!C12+Ponnani!C12</f>
        <v>28</v>
      </c>
      <c r="D12" s="37">
        <f>Malappuram!D12+Kondotty!D12+Nilambur!D12+Perinthalmanna!D12+Thirurangadi!D12+Tirur!D12+Ponnani!D12</f>
        <v>20</v>
      </c>
      <c r="E12" s="37">
        <f>Malappuram!E12+Kondotty!E12+Nilambur!E12+Perinthalmanna!E12+Thirurangadi!E12+Tirur!E12+Ponnani!E12</f>
        <v>13</v>
      </c>
      <c r="F12" s="37">
        <f>Malappuram!F12+Kondotty!F12+Nilambur!F12+Perinthalmanna!F12+Thirurangadi!F12+Tirur!F12+Ponnani!F12</f>
        <v>15</v>
      </c>
      <c r="G12" s="37">
        <f>Malappuram!G12+Kondotty!G12+Nilambur!G12+Perinthalmanna!G12+Thirurangadi!G12+Tirur!G12+Ponnani!G12</f>
        <v>19</v>
      </c>
      <c r="H12" s="37">
        <f>Malappuram!H12+Kondotty!H12+Nilambur!H12+Perinthalmanna!H12+Thirurangadi!H12+Tirur!H12+Ponnani!H12</f>
        <v>17</v>
      </c>
      <c r="I12" s="37">
        <f>Malappuram!I12+Kondotty!I12+Nilambur!I12+Perinthalmanna!I12+Thirurangadi!I12+Tirur!I12+Ponnani!I12</f>
        <v>22</v>
      </c>
      <c r="J12" s="37">
        <f>Malappuram!J12+Kondotty!J12+Nilambur!J12+Perinthalmanna!J12+Thirurangadi!J12+Tirur!J12+Ponnani!J12</f>
        <v>20</v>
      </c>
      <c r="K12" s="37">
        <f>Malappuram!K12+Kondotty!K12+Nilambur!K12+Perinthalmanna!K12+Thirurangadi!K12+Tirur!K12+Ponnani!K12</f>
        <v>0</v>
      </c>
      <c r="L12" s="37">
        <f>Malappuram!L12+Kondotty!L12+Nilambur!L12+Perinthalmanna!L12+Thirurangadi!L12+Tirur!L12+Ponnani!L12</f>
        <v>0</v>
      </c>
      <c r="M12" s="37">
        <f>Malappuram!M12+Kondotty!M12+Nilambur!M12+Perinthalmanna!M12+Thirurangadi!M12+Tirur!M12+Ponnani!M12</f>
        <v>0</v>
      </c>
      <c r="N12" s="37">
        <f>Malappuram!N12+Kondotty!N12+Nilambur!N12+Perinthalmanna!N12+Thirurangadi!N12+Tirur!N12+Ponnani!N12</f>
        <v>0</v>
      </c>
      <c r="O12" s="39">
        <f t="shared" si="1"/>
        <v>154</v>
      </c>
      <c r="P12" s="42">
        <f t="shared" si="0"/>
        <v>1.435495898583147E-2</v>
      </c>
    </row>
    <row r="13" spans="1:16" x14ac:dyDescent="0.25">
      <c r="A13" s="37">
        <v>10</v>
      </c>
      <c r="B13" s="37" t="s">
        <v>38</v>
      </c>
      <c r="C13" s="37">
        <f>Malappuram!C13+Kondotty!C13+Nilambur!C13+Perinthalmanna!C13+Thirurangadi!C13+Tirur!C13+Ponnani!C13</f>
        <v>0</v>
      </c>
      <c r="D13" s="37">
        <f>Malappuram!D13+Kondotty!D13+Nilambur!D13+Perinthalmanna!D13+Thirurangadi!D13+Tirur!D13+Ponnani!D13</f>
        <v>0</v>
      </c>
      <c r="E13" s="37">
        <f>Malappuram!E13+Kondotty!E13+Nilambur!E13+Perinthalmanna!E13+Thirurangadi!E13+Tirur!E13+Ponnani!E13</f>
        <v>0</v>
      </c>
      <c r="F13" s="37">
        <f>Malappuram!F13+Kondotty!F13+Nilambur!F13+Perinthalmanna!F13+Thirurangadi!F13+Tirur!F13+Ponnani!F13</f>
        <v>12</v>
      </c>
      <c r="G13" s="37">
        <f>Malappuram!G13+Kondotty!G13+Nilambur!G13+Perinthalmanna!G13+Thirurangadi!G13+Tirur!G13+Ponnani!G13</f>
        <v>55</v>
      </c>
      <c r="H13" s="37">
        <f>Malappuram!H13+Kondotty!H13+Nilambur!H13+Perinthalmanna!H13+Thirurangadi!H13+Tirur!H13+Ponnani!H13</f>
        <v>53</v>
      </c>
      <c r="I13" s="37">
        <f>Malappuram!I13+Kondotty!I13+Nilambur!I13+Perinthalmanna!I13+Thirurangadi!I13+Tirur!I13+Ponnani!I13</f>
        <v>66</v>
      </c>
      <c r="J13" s="37">
        <f>Malappuram!J13+Kondotty!J13+Nilambur!J13+Perinthalmanna!J13+Thirurangadi!J13+Tirur!J13+Ponnani!J13</f>
        <v>61</v>
      </c>
      <c r="K13" s="37">
        <f>Malappuram!K13+Kondotty!K13+Nilambur!K13+Perinthalmanna!K13+Thirurangadi!K13+Tirur!K13+Ponnani!K13</f>
        <v>0</v>
      </c>
      <c r="L13" s="37">
        <f>Malappuram!L13+Kondotty!L13+Nilambur!L13+Perinthalmanna!L13+Thirurangadi!L13+Tirur!L13+Ponnani!L13</f>
        <v>0</v>
      </c>
      <c r="M13" s="37">
        <f>Malappuram!M13+Kondotty!M13+Nilambur!M13+Perinthalmanna!M13+Thirurangadi!M13+Tirur!M13+Ponnani!M13</f>
        <v>0</v>
      </c>
      <c r="N13" s="37">
        <f>Malappuram!N13+Kondotty!N13+Nilambur!N13+Perinthalmanna!N13+Thirurangadi!N13+Tirur!N13+Ponnani!N13</f>
        <v>0</v>
      </c>
      <c r="O13" s="39">
        <f t="shared" si="1"/>
        <v>247</v>
      </c>
      <c r="P13" s="42">
        <f t="shared" si="0"/>
        <v>2.302386278896346E-2</v>
      </c>
    </row>
    <row r="14" spans="1:16" x14ac:dyDescent="0.25">
      <c r="A14" s="37">
        <v>11</v>
      </c>
      <c r="B14" s="37" t="s">
        <v>41</v>
      </c>
      <c r="C14" s="37">
        <f>Malappuram!C14+Kondotty!C14+Nilambur!C14+Perinthalmanna!C14+Thirurangadi!C14+Tirur!C14+Ponnani!C14</f>
        <v>22</v>
      </c>
      <c r="D14" s="37">
        <f>Malappuram!D14+Kondotty!D14+Nilambur!D14+Perinthalmanna!D14+Thirurangadi!D14+Tirur!D14+Ponnani!D14</f>
        <v>10</v>
      </c>
      <c r="E14" s="37">
        <f>Malappuram!E14+Kondotty!E14+Nilambur!E14+Perinthalmanna!E14+Thirurangadi!E14+Tirur!E14+Ponnani!E14</f>
        <v>19</v>
      </c>
      <c r="F14" s="37">
        <f>Malappuram!F14+Kondotty!F14+Nilambur!F14+Perinthalmanna!F14+Thirurangadi!F14+Tirur!F14+Ponnani!F14</f>
        <v>8</v>
      </c>
      <c r="G14" s="37">
        <f>Malappuram!G14+Kondotty!G14+Nilambur!G14+Perinthalmanna!G14+Thirurangadi!G14+Tirur!G14+Ponnani!G14</f>
        <v>12</v>
      </c>
      <c r="H14" s="37">
        <f>Malappuram!H14+Kondotty!H14+Nilambur!H14+Perinthalmanna!H14+Thirurangadi!H14+Tirur!H14+Ponnani!H14</f>
        <v>18</v>
      </c>
      <c r="I14" s="37">
        <f>Malappuram!I14+Kondotty!I14+Nilambur!I14+Perinthalmanna!I14+Thirurangadi!I14+Tirur!I14+Ponnani!I14</f>
        <v>19</v>
      </c>
      <c r="J14" s="37">
        <f>Malappuram!J14+Kondotty!J14+Nilambur!J14+Perinthalmanna!J14+Thirurangadi!J14+Tirur!J14+Ponnani!J14</f>
        <v>18</v>
      </c>
      <c r="K14" s="37">
        <f>Malappuram!K14+Kondotty!K14+Nilambur!K14+Perinthalmanna!K14+Thirurangadi!K14+Tirur!K14+Ponnani!K14</f>
        <v>0</v>
      </c>
      <c r="L14" s="37">
        <f>Malappuram!L14+Kondotty!L14+Nilambur!L14+Perinthalmanna!L14+Thirurangadi!L14+Tirur!L14+Ponnani!L14</f>
        <v>0</v>
      </c>
      <c r="M14" s="37">
        <f>Malappuram!M14+Kondotty!M14+Nilambur!M14+Perinthalmanna!M14+Thirurangadi!M14+Tirur!M14+Ponnani!M14</f>
        <v>0</v>
      </c>
      <c r="N14" s="37">
        <f>Malappuram!N14+Kondotty!N14+Nilambur!N14+Perinthalmanna!N14+Thirurangadi!N14+Tirur!N14+Ponnani!N14</f>
        <v>0</v>
      </c>
      <c r="O14" s="39">
        <f t="shared" si="1"/>
        <v>126</v>
      </c>
      <c r="P14" s="42">
        <f t="shared" si="0"/>
        <v>1.1744966442953021E-2</v>
      </c>
    </row>
    <row r="15" spans="1:16" x14ac:dyDescent="0.25">
      <c r="A15" s="37">
        <v>12</v>
      </c>
      <c r="B15" s="37" t="s">
        <v>43</v>
      </c>
      <c r="C15" s="37">
        <f>Malappuram!C15+Kondotty!C15+Nilambur!C15+Perinthalmanna!C15+Thirurangadi!C15+Tirur!C15+Ponnani!C15</f>
        <v>9</v>
      </c>
      <c r="D15" s="37">
        <f>Malappuram!D15+Kondotty!D15+Nilambur!D15+Perinthalmanna!D15+Thirurangadi!D15+Tirur!D15+Ponnani!D15</f>
        <v>9</v>
      </c>
      <c r="E15" s="37">
        <f>Malappuram!E15+Kondotty!E15+Nilambur!E15+Perinthalmanna!E15+Thirurangadi!E15+Tirur!E15+Ponnani!E15</f>
        <v>13</v>
      </c>
      <c r="F15" s="37">
        <f>Malappuram!F15+Kondotty!F15+Nilambur!F15+Perinthalmanna!F15+Thirurangadi!F15+Tirur!F15+Ponnani!F15</f>
        <v>5</v>
      </c>
      <c r="G15" s="37">
        <f>Malappuram!G15+Kondotty!G15+Nilambur!G15+Perinthalmanna!G15+Thirurangadi!G15+Tirur!G15+Ponnani!G15</f>
        <v>11</v>
      </c>
      <c r="H15" s="37">
        <f>Malappuram!H15+Kondotty!H15+Nilambur!H15+Perinthalmanna!H15+Thirurangadi!H15+Tirur!H15+Ponnani!H15</f>
        <v>14</v>
      </c>
      <c r="I15" s="37">
        <f>Malappuram!I15+Kondotty!I15+Nilambur!I15+Perinthalmanna!I15+Thirurangadi!I15+Tirur!I15+Ponnani!I15</f>
        <v>9</v>
      </c>
      <c r="J15" s="37">
        <f>Malappuram!J15+Kondotty!J15+Nilambur!J15+Perinthalmanna!J15+Thirurangadi!J15+Tirur!J15+Ponnani!J15</f>
        <v>13</v>
      </c>
      <c r="K15" s="37">
        <f>Malappuram!K15+Kondotty!K15+Nilambur!K15+Perinthalmanna!K15+Thirurangadi!K15+Tirur!K15+Ponnani!K15</f>
        <v>0</v>
      </c>
      <c r="L15" s="37">
        <f>Malappuram!L15+Kondotty!L15+Nilambur!L15+Perinthalmanna!L15+Thirurangadi!L15+Tirur!L15+Ponnani!L15</f>
        <v>0</v>
      </c>
      <c r="M15" s="37">
        <f>Malappuram!M15+Kondotty!M15+Nilambur!M15+Perinthalmanna!M15+Thirurangadi!M15+Tirur!M15+Ponnani!M15</f>
        <v>0</v>
      </c>
      <c r="N15" s="37">
        <f>Malappuram!N15+Kondotty!N15+Nilambur!N15+Perinthalmanna!N15+Thirurangadi!N15+Tirur!N15+Ponnani!N15</f>
        <v>0</v>
      </c>
      <c r="O15" s="39">
        <f t="shared" si="1"/>
        <v>83</v>
      </c>
      <c r="P15" s="42">
        <f t="shared" si="0"/>
        <v>7.7367636092468307E-3</v>
      </c>
    </row>
    <row r="16" spans="1:16" x14ac:dyDescent="0.25">
      <c r="A16" s="161" t="s">
        <v>25</v>
      </c>
      <c r="B16" s="162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9"/>
      <c r="P16" s="42"/>
    </row>
    <row r="17" spans="1:16" x14ac:dyDescent="0.25">
      <c r="A17" s="160" t="s">
        <v>26</v>
      </c>
      <c r="B17" s="160"/>
      <c r="C17" s="39">
        <f t="shared" ref="C17:H17" si="2">SUM(C4:C15)</f>
        <v>1443</v>
      </c>
      <c r="D17" s="39">
        <f t="shared" si="2"/>
        <v>1151</v>
      </c>
      <c r="E17" s="39">
        <f t="shared" si="2"/>
        <v>1793</v>
      </c>
      <c r="F17" s="39">
        <f t="shared" si="2"/>
        <v>780</v>
      </c>
      <c r="G17" s="39">
        <f t="shared" si="2"/>
        <v>1210</v>
      </c>
      <c r="H17" s="39">
        <f t="shared" si="2"/>
        <v>1316</v>
      </c>
      <c r="I17" s="39">
        <f t="shared" ref="I17:N17" si="3">SUM(I4:I15)</f>
        <v>1481</v>
      </c>
      <c r="J17" s="39">
        <f t="shared" si="3"/>
        <v>1554</v>
      </c>
      <c r="K17" s="39">
        <f t="shared" si="3"/>
        <v>0</v>
      </c>
      <c r="L17" s="39">
        <f t="shared" si="3"/>
        <v>0</v>
      </c>
      <c r="M17" s="39">
        <f t="shared" si="3"/>
        <v>0</v>
      </c>
      <c r="N17" s="39">
        <f t="shared" si="3"/>
        <v>0</v>
      </c>
      <c r="O17" s="39">
        <f t="shared" si="1"/>
        <v>10728</v>
      </c>
      <c r="P17" s="42">
        <f>O17/$O$17</f>
        <v>1</v>
      </c>
    </row>
    <row r="18" spans="1:16" x14ac:dyDescent="0.25">
      <c r="B18" s="36"/>
    </row>
    <row r="20" spans="1:16" x14ac:dyDescent="0.25">
      <c r="B20" s="36" t="s">
        <v>99</v>
      </c>
      <c r="C20" s="37">
        <f>Malappuram!C20+Kondotty!C20+Nilambur!C20+Perinthalmanna!C20+Thirurangadi!C20+Tirur!C20+Ponnani!C20</f>
        <v>26</v>
      </c>
      <c r="D20" s="37">
        <f>Malappuram!D20+Kondotty!D20+Nilambur!D20+Perinthalmanna!D20+Thirurangadi!D20+Tirur!D20+Ponnani!D20</f>
        <v>19</v>
      </c>
      <c r="E20" s="37">
        <f>Malappuram!E20+Kondotty!E20+Nilambur!E20+Perinthalmanna!E20+Thirurangadi!E20+Tirur!E20+Ponnani!E20</f>
        <v>45</v>
      </c>
      <c r="F20" s="37">
        <f>Malappuram!F20+Kondotty!F20+Nilambur!F20+Perinthalmanna!F20+Thirurangadi!F20+Tirur!F20+Ponnani!F20</f>
        <v>14</v>
      </c>
      <c r="G20" s="37">
        <f>Malappuram!G20+Kondotty!G20+Nilambur!G20+Perinthalmanna!G20+Thirurangadi!G20+Tirur!G20+Ponnani!G20</f>
        <v>16</v>
      </c>
      <c r="H20" s="37">
        <f>Malappuram!H20+Kondotty!H20+Nilambur!H20+Perinthalmanna!H20+Thirurangadi!H20+Tirur!H20+Ponnani!H20</f>
        <v>32</v>
      </c>
      <c r="I20" s="37">
        <f>Malappuram!I20+Kondotty!I20+Nilambur!I20+Perinthalmanna!I20+Thirurangadi!I20+Tirur!I20+Ponnani!I20</f>
        <v>37</v>
      </c>
      <c r="J20" s="37">
        <f>Malappuram!J20+Kondotty!J20+Nilambur!J20+Perinthalmanna!J20+Thirurangadi!J20+Tirur!J20+Ponnani!J20</f>
        <v>57</v>
      </c>
      <c r="K20" s="37">
        <f>Malappuram!K20+Kondotty!K20+Nilambur!K20+Perinthalmanna!K20+Thirurangadi!K20+Tirur!K20+Ponnani!K20</f>
        <v>0</v>
      </c>
      <c r="L20" s="37">
        <f>Malappuram!L20+Kondotty!L20+Nilambur!L20+Perinthalmanna!L20+Thirurangadi!L20+Tirur!L20+Ponnani!L20</f>
        <v>0</v>
      </c>
      <c r="M20" s="37">
        <f>Malappuram!M20+Kondotty!M20+Nilambur!M20+Perinthalmanna!M20+Thirurangadi!M20+Tirur!M20+Ponnani!M20</f>
        <v>0</v>
      </c>
      <c r="N20" s="37">
        <f>Malappuram!N20+Kondotty!N20+Nilambur!N20+Perinthalmanna!N20+Thirurangadi!N20+Tirur!N20+Ponnani!N20</f>
        <v>0</v>
      </c>
      <c r="O20" s="36"/>
    </row>
    <row r="21" spans="1:16" x14ac:dyDescent="0.25">
      <c r="B21" s="36" t="s">
        <v>100</v>
      </c>
      <c r="C21" s="37">
        <f>C5-C20</f>
        <v>83</v>
      </c>
      <c r="D21" s="37">
        <f t="shared" ref="D21:N21" si="4">D5-D20</f>
        <v>84</v>
      </c>
      <c r="E21" s="37">
        <f t="shared" si="4"/>
        <v>112</v>
      </c>
      <c r="F21" s="37">
        <f t="shared" si="4"/>
        <v>62</v>
      </c>
      <c r="G21" s="37">
        <f t="shared" si="4"/>
        <v>99</v>
      </c>
      <c r="H21" s="37">
        <f t="shared" si="4"/>
        <v>81</v>
      </c>
      <c r="I21" s="37">
        <f t="shared" si="4"/>
        <v>89</v>
      </c>
      <c r="J21" s="37">
        <f t="shared" si="4"/>
        <v>89</v>
      </c>
      <c r="K21" s="37">
        <f t="shared" si="4"/>
        <v>0</v>
      </c>
      <c r="L21" s="37">
        <f t="shared" si="4"/>
        <v>0</v>
      </c>
      <c r="M21" s="37">
        <f t="shared" si="4"/>
        <v>0</v>
      </c>
      <c r="N21" s="37">
        <f t="shared" si="4"/>
        <v>0</v>
      </c>
      <c r="O21" s="36"/>
    </row>
    <row r="22" spans="1:16" x14ac:dyDescent="0.25">
      <c r="B22" s="36" t="s">
        <v>101</v>
      </c>
      <c r="C22" s="117">
        <f>C20/C5</f>
        <v>0.23853211009174313</v>
      </c>
      <c r="D22" s="117">
        <f t="shared" ref="D22:N22" si="5">D20/D5</f>
        <v>0.18446601941747573</v>
      </c>
      <c r="E22" s="117">
        <f t="shared" si="5"/>
        <v>0.28662420382165604</v>
      </c>
      <c r="F22" s="117">
        <f t="shared" si="5"/>
        <v>0.18421052631578946</v>
      </c>
      <c r="G22" s="117">
        <f t="shared" si="5"/>
        <v>0.1391304347826087</v>
      </c>
      <c r="H22" s="117">
        <f t="shared" si="5"/>
        <v>0.2831858407079646</v>
      </c>
      <c r="I22" s="117">
        <f t="shared" si="5"/>
        <v>0.29365079365079366</v>
      </c>
      <c r="J22" s="117">
        <f t="shared" si="5"/>
        <v>0.3904109589041096</v>
      </c>
      <c r="K22" s="117" t="e">
        <f t="shared" si="5"/>
        <v>#DIV/0!</v>
      </c>
      <c r="L22" s="117" t="e">
        <f t="shared" si="5"/>
        <v>#DIV/0!</v>
      </c>
      <c r="M22" s="117" t="e">
        <f t="shared" si="5"/>
        <v>#DIV/0!</v>
      </c>
      <c r="N22" s="117" t="e">
        <f t="shared" si="5"/>
        <v>#DIV/0!</v>
      </c>
      <c r="O22" s="117"/>
    </row>
    <row r="23" spans="1:16" x14ac:dyDescent="0.25">
      <c r="B23" s="36" t="s">
        <v>102</v>
      </c>
      <c r="C23" s="117">
        <f>C21/C5</f>
        <v>0.76146788990825687</v>
      </c>
      <c r="D23" s="117">
        <f t="shared" ref="D23:N23" si="6">D21/D5</f>
        <v>0.81553398058252424</v>
      </c>
      <c r="E23" s="117">
        <f t="shared" si="6"/>
        <v>0.7133757961783439</v>
      </c>
      <c r="F23" s="117">
        <f t="shared" si="6"/>
        <v>0.81578947368421051</v>
      </c>
      <c r="G23" s="117">
        <f t="shared" si="6"/>
        <v>0.86086956521739133</v>
      </c>
      <c r="H23" s="117">
        <f t="shared" si="6"/>
        <v>0.7168141592920354</v>
      </c>
      <c r="I23" s="117">
        <f t="shared" si="6"/>
        <v>0.70634920634920639</v>
      </c>
      <c r="J23" s="117">
        <f t="shared" si="6"/>
        <v>0.6095890410958904</v>
      </c>
      <c r="K23" s="117" t="e">
        <f t="shared" si="6"/>
        <v>#DIV/0!</v>
      </c>
      <c r="L23" s="117" t="e">
        <f t="shared" si="6"/>
        <v>#DIV/0!</v>
      </c>
      <c r="M23" s="117" t="e">
        <f t="shared" si="6"/>
        <v>#DIV/0!</v>
      </c>
      <c r="N23" s="117" t="e">
        <f t="shared" si="6"/>
        <v>#DIV/0!</v>
      </c>
      <c r="O23" s="117"/>
    </row>
  </sheetData>
  <mergeCells count="8">
    <mergeCell ref="A17:B17"/>
    <mergeCell ref="C2:N2"/>
    <mergeCell ref="P2:P3"/>
    <mergeCell ref="A1:O1"/>
    <mergeCell ref="A2:A3"/>
    <mergeCell ref="B2:B3"/>
    <mergeCell ref="O2:O3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Cmt Vs Tgt Aug-23</vt:lpstr>
      <vt:lpstr>Cmt Vs Tgt Jul-23</vt:lpstr>
      <vt:lpstr>Compare</vt:lpstr>
      <vt:lpstr>RTO Wise Jul-23</vt:lpstr>
      <vt:lpstr>Wholesale Vs Retail</vt:lpstr>
      <vt:lpstr>Cmt Vs Tgt Jun-23</vt:lpstr>
      <vt:lpstr>RTO Wise Jun-23</vt:lpstr>
      <vt:lpstr>Malappuram</vt:lpstr>
      <vt:lpstr>Kondotty</vt:lpstr>
      <vt:lpstr>Nilambur</vt:lpstr>
      <vt:lpstr>Perinthalmanna</vt:lpstr>
      <vt:lpstr>Tirur</vt:lpstr>
      <vt:lpstr>Thirurangadi</vt:lpstr>
      <vt:lpstr>Ponnani</vt:lpstr>
      <vt:lpstr>Consolidation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NIYAS NIYAS</dc:creator>
  <cp:lastModifiedBy>NIYAS NIYAS</cp:lastModifiedBy>
  <dcterms:created xsi:type="dcterms:W3CDTF">2023-05-20T11:58:18Z</dcterms:created>
  <dcterms:modified xsi:type="dcterms:W3CDTF">2024-10-17T13:10:20Z</dcterms:modified>
</cp:coreProperties>
</file>